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m6deGJXO1IA/wl3q5NUDsSNPpfVdwR2BGiNEdaGStEpyCRkfXUb0LpLK9HjJHcRhMF45jdBrPw8FxasrYhJMYw==" workbookSaltValue="q2sQeu3HqKIhqL1rDU94XQ==" workbookSpinCount="100000"/>
  <bookViews>
    <workbookView visibility="visible" minimized="0" showHorizontalScroll="1" showVerticalScroll="1" showSheetTabs="1" xWindow="-120" yWindow="-120" windowWidth="29040" windowHeight="15720" tabRatio="600" firstSheet="25" activeTab="31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  <sheet xmlns:r="http://schemas.openxmlformats.org/officeDocument/2006/relationships" name="Бланк" sheetId="32" state="visible" r:id="rId32"/>
    <sheet xmlns:r="http://schemas.openxmlformats.org/officeDocument/2006/relationships" name="Итоги месяца и недели" sheetId="33" state="visible" r:id="rId33"/>
    <sheet xmlns:r="http://schemas.openxmlformats.org/officeDocument/2006/relationships" name="Расход 1-10" sheetId="34" state="visible" r:id="rId34"/>
    <sheet xmlns:r="http://schemas.openxmlformats.org/officeDocument/2006/relationships" name="Расход 11-12" sheetId="35" state="visible" r:id="rId35"/>
    <sheet xmlns:r="http://schemas.openxmlformats.org/officeDocument/2006/relationships" name="Расход общий" sheetId="36" state="visible" r:id="rId36"/>
    <sheet xmlns:r="http://schemas.openxmlformats.org/officeDocument/2006/relationships" name="Машины 1-10" sheetId="37" state="visible" r:id="rId37"/>
    <sheet xmlns:r="http://schemas.openxmlformats.org/officeDocument/2006/relationships" name="Машины 11-12" sheetId="38" state="visible" r:id="rId38"/>
    <sheet xmlns:r="http://schemas.openxmlformats.org/officeDocument/2006/relationships" name="Химия по дозаторам" sheetId="39" state="visible" r:id="rId39"/>
    <sheet xmlns:r="http://schemas.openxmlformats.org/officeDocument/2006/relationships" name="Сводка по машинам" sheetId="40" state="visible" r:id="rId40"/>
  </sheets>
  <definedNames>
    <definedName name="_xlnm._FilterDatabase" localSheetId="33" hidden="1">'Расход 1-10'!$A$1:$K$32</definedName>
    <definedName name="_xlnm._FilterDatabase" localSheetId="34" hidden="1">'Расход 11-12'!$A$1:$K$32</definedName>
    <definedName name="_xlnm._FilterDatabase" localSheetId="35" hidden="1">'Расход общий'!$A$1:$K$32</definedName>
    <definedName name="_xlnm._FilterDatabase" localSheetId="36" hidden="1">'Машины 1-10'!$A$1:$M$311</definedName>
    <definedName name="_xlnm._FilterDatabase" localSheetId="37" hidden="1">'Машины 11-12'!$A$1:$M$63</definedName>
    <definedName name="_xlnm._FilterDatabase" localSheetId="38" hidden="1">'Химия по дозаторам'!$A$1:$J$2000</definedName>
    <definedName name="_xlnm._FilterDatabase" localSheetId="39" hidden="1">'Сводка по машинам'!$A$1:$M$20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Calibri"/>
      <family val="2"/>
      <b val="1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D9EAF7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11" applyAlignment="1" applyProtection="1" pivotButton="0" quotePrefix="0" xfId="0">
      <alignment horizontal="center" vertical="center"/>
      <protection locked="0" hidden="0"/>
    </xf>
    <xf numFmtId="0" fontId="0" fillId="6" borderId="13" applyAlignment="1" applyProtection="1" pivotButton="0" quotePrefix="0" xfId="0">
      <alignment horizontal="center" vertical="center"/>
      <protection locked="0" hidden="0"/>
    </xf>
    <xf numFmtId="0" fontId="0" fillId="0" borderId="38" applyAlignment="1" applyProtection="1" pivotButton="0" quotePrefix="0" xfId="0">
      <alignment horizontal="center" vertical="center"/>
      <protection locked="0" hidden="0"/>
    </xf>
    <xf numFmtId="0" fontId="0" fillId="6" borderId="18" applyAlignment="1" applyProtection="1" pivotButton="0" quotePrefix="0" xfId="0">
      <alignment horizontal="center" vertical="center"/>
      <protection locked="0" hidden="0"/>
    </xf>
    <xf numFmtId="0" fontId="0" fillId="0" borderId="37" applyAlignment="1" applyProtection="1" pivotButton="0" quotePrefix="0" xfId="0">
      <alignment horizontal="center" vertical="center"/>
      <protection locked="0" hidden="0"/>
    </xf>
    <xf numFmtId="0" fontId="0" fillId="6" borderId="20" applyAlignment="1" applyProtection="1" pivotButton="0" quotePrefix="0" xfId="0">
      <alignment horizontal="center" vertical="center"/>
      <protection locked="0" hidden="0"/>
    </xf>
    <xf numFmtId="0" fontId="0" fillId="0" borderId="5" pivotButton="0" quotePrefix="0" xfId="0"/>
    <xf numFmtId="0" fontId="0" fillId="0" borderId="12" pivotButton="0" quotePrefix="0" xfId="0"/>
    <xf numFmtId="0" fontId="0" fillId="0" borderId="45" pivotButton="0" quotePrefix="0" xfId="0"/>
    <xf numFmtId="0" fontId="0" fillId="0" borderId="2" pivotButton="0" quotePrefix="0" xfId="0"/>
    <xf numFmtId="0" fontId="0" fillId="0" borderId="46" pivotButton="0" quotePrefix="0" xfId="0"/>
    <xf numFmtId="0" fontId="0" fillId="0" borderId="9" pivotButton="0" quotePrefix="0" xfId="0"/>
    <xf numFmtId="0" fontId="0" fillId="0" borderId="33" pivotButton="0" quotePrefix="0" xfId="0"/>
    <xf numFmtId="0" fontId="0" fillId="0" borderId="3" pivotButton="0" quotePrefix="0" xfId="0"/>
    <xf numFmtId="0" fontId="0" fillId="0" borderId="32" pivotButton="0" quotePrefix="0" xfId="0"/>
    <xf numFmtId="0" fontId="0" fillId="0" borderId="10" pivotButton="0" quotePrefix="0" xfId="0"/>
    <xf numFmtId="0" fontId="0" fillId="0" borderId="46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4" applyAlignment="1" applyProtection="1" pivotButton="0" quotePrefix="0" xfId="0">
      <alignment horizontal="center" vertical="center"/>
      <protection locked="0" hidden="0"/>
    </xf>
    <xf numFmtId="0" fontId="0" fillId="0" borderId="33" applyAlignment="1" applyProtection="1" pivotButton="0" quotePrefix="0" xfId="0">
      <alignment horizontal="center" vertical="center"/>
      <protection locked="0" hidden="0"/>
    </xf>
    <xf numFmtId="0" fontId="0" fillId="0" borderId="32" applyAlignment="1" applyProtection="1" pivotButton="0" quotePrefix="0" xfId="0">
      <alignment horizontal="center" vertical="center"/>
      <protection locked="0" hidden="0"/>
    </xf>
    <xf numFmtId="0" fontId="0" fillId="0" borderId="54" applyAlignment="1" applyProtection="1" pivotButton="0" quotePrefix="0" xfId="0">
      <alignment horizontal="center" vertical="center"/>
      <protection locked="0" hidden="0"/>
    </xf>
    <xf numFmtId="0" fontId="0" fillId="6" borderId="27" applyAlignment="1" applyProtection="1" pivotButton="0" quotePrefix="0" xfId="0">
      <alignment horizontal="center" vertical="center"/>
      <protection locked="0" hidden="0"/>
    </xf>
    <xf numFmtId="0" fontId="0" fillId="6" borderId="45" applyAlignment="1" applyProtection="1" pivotButton="0" quotePrefix="0" xfId="0">
      <alignment horizontal="center" vertical="center"/>
      <protection locked="0" hidden="0"/>
    </xf>
    <xf numFmtId="0" fontId="0" fillId="6" borderId="2" applyAlignment="1" applyProtection="1" pivotButton="0" quotePrefix="0" xfId="0">
      <alignment horizontal="center" vertical="center"/>
      <protection locked="0" hidden="0"/>
    </xf>
    <xf numFmtId="0" fontId="0" fillId="6" borderId="55" applyAlignment="1" applyProtection="1" pivotButton="0" quotePrefix="0" xfId="0">
      <alignment horizontal="center" vertical="center"/>
      <protection locked="0" hidden="0"/>
    </xf>
    <xf numFmtId="0" fontId="0" fillId="6" borderId="46" applyAlignment="1" applyProtection="1" pivotButton="0" quotePrefix="0" xfId="0">
      <alignment horizontal="center" vertical="center"/>
      <protection locked="0" hidden="0"/>
    </xf>
    <xf numFmtId="0" fontId="2" fillId="5" borderId="23" applyAlignment="1" pivotButton="0" quotePrefix="0" xfId="0">
      <alignment horizontal="center" vertical="center"/>
    </xf>
    <xf numFmtId="0" fontId="0" fillId="0" borderId="47" applyAlignment="1" applyProtection="1" pivotButton="0" quotePrefix="0" xfId="0">
      <alignment horizontal="center" vertical="center"/>
      <protection locked="0" hidden="0"/>
    </xf>
    <xf numFmtId="0" fontId="0" fillId="6" borderId="44" applyAlignment="1" applyProtection="1" pivotButton="0" quotePrefix="0" xfId="0">
      <alignment horizontal="center" vertical="center"/>
      <protection locked="0" hidden="0"/>
    </xf>
    <xf numFmtId="0" fontId="0" fillId="6" borderId="9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4" fontId="1" fillId="0" borderId="0" applyAlignment="1" pivotButton="0" quotePrefix="0" xfId="0">
      <alignment vertical="center"/>
    </xf>
    <xf numFmtId="14" fontId="0" fillId="0" borderId="19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7" borderId="11" pivotButton="0" quotePrefix="0" xfId="0"/>
    <xf numFmtId="0" fontId="0" fillId="7" borderId="12" pivotButton="0" quotePrefix="0" xfId="0"/>
    <xf numFmtId="0" fontId="0" fillId="7" borderId="13" pivotButton="0" quotePrefix="0" xfId="0"/>
    <xf numFmtId="0" fontId="0" fillId="7" borderId="38" pivotButton="0" quotePrefix="0" xfId="0"/>
    <xf numFmtId="0" fontId="0" fillId="7" borderId="1" pivotButton="0" quotePrefix="0" xfId="0"/>
    <xf numFmtId="0" fontId="0" fillId="7" borderId="18" pivotButton="0" quotePrefix="0" xfId="0"/>
    <xf numFmtId="0" fontId="0" fillId="7" borderId="37" pivotButton="0" quotePrefix="0" xfId="0"/>
    <xf numFmtId="0" fontId="0" fillId="7" borderId="19" pivotButton="0" quotePrefix="0" xfId="0"/>
    <xf numFmtId="0" fontId="0" fillId="7" borderId="20" pivotButton="0" quotePrefix="0" xfId="0"/>
    <xf numFmtId="0" fontId="0" fillId="7" borderId="47" pivotButton="0" quotePrefix="0" xfId="0"/>
    <xf numFmtId="0" fontId="0" fillId="7" borderId="5" pivotButton="0" quotePrefix="0" xfId="0"/>
    <xf numFmtId="0" fontId="0" fillId="7" borderId="44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8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textRotation="90"/>
    </xf>
    <xf numFmtId="0" fontId="0" fillId="2" borderId="18" applyAlignment="1" pivotButton="0" quotePrefix="0" xfId="0">
      <alignment horizontal="center" vertical="center" textRotation="90"/>
    </xf>
    <xf numFmtId="0" fontId="0" fillId="2" borderId="20" applyAlignment="1" pivotButton="0" quotePrefix="0" xfId="0">
      <alignment horizontal="center" vertical="center" textRotation="90"/>
    </xf>
    <xf numFmtId="0" fontId="0" fillId="0" borderId="5" applyAlignment="1" applyProtection="1" pivotButton="0" quotePrefix="0" xfId="0">
      <alignment horizontal="center" vertical="center" textRotation="90"/>
      <protection locked="0" hidden="0"/>
    </xf>
    <xf numFmtId="0" fontId="0" fillId="0" borderId="1" applyAlignment="1" applyProtection="1" pivotButton="0" quotePrefix="0" xfId="0">
      <alignment horizontal="center" vertical="center" textRotation="90"/>
      <protection locked="0" hidden="0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 vertical="center" textRotation="90"/>
    </xf>
    <xf numFmtId="0" fontId="0" fillId="0" borderId="23" applyAlignment="1" pivotButton="0" quotePrefix="0" xfId="0">
      <alignment horizontal="center" vertical="center" textRotation="90"/>
    </xf>
    <xf numFmtId="0" fontId="0" fillId="0" borderId="31" applyAlignment="1" pivotButton="0" quotePrefix="0" xfId="0">
      <alignment horizontal="center" vertical="center" textRotation="90"/>
    </xf>
    <xf numFmtId="0" fontId="0" fillId="0" borderId="8" applyAlignment="1" pivotButton="0" quotePrefix="0" xfId="0">
      <alignment horizontal="center" vertical="center" textRotation="90"/>
    </xf>
    <xf numFmtId="0" fontId="0" fillId="0" borderId="24" applyAlignment="1" pivotButton="0" quotePrefix="0" xfId="0">
      <alignment horizontal="center" vertical="center" textRotation="90"/>
    </xf>
    <xf numFmtId="0" fontId="0" fillId="2" borderId="41" applyAlignment="1" pivotButton="0" quotePrefix="0" xfId="0">
      <alignment horizontal="center" vertical="center" textRotation="90"/>
    </xf>
    <xf numFmtId="0" fontId="0" fillId="2" borderId="6" applyAlignment="1" pivotButton="0" quotePrefix="0" xfId="0">
      <alignment horizontal="center" vertical="center" textRotation="90"/>
    </xf>
    <xf numFmtId="0" fontId="0" fillId="2" borderId="42" applyAlignment="1" pivotButton="0" quotePrefix="0" xfId="0">
      <alignment horizontal="center" vertical="center" textRotation="90"/>
    </xf>
    <xf numFmtId="0" fontId="0" fillId="0" borderId="11" applyAlignment="1" applyProtection="1" pivotButton="0" quotePrefix="0" xfId="0">
      <alignment horizontal="center" vertical="center" textRotation="90"/>
      <protection locked="0" hidden="0"/>
    </xf>
    <xf numFmtId="0" fontId="0" fillId="0" borderId="38" applyAlignment="1" applyProtection="1" pivotButton="0" quotePrefix="0" xfId="0">
      <alignment horizontal="center" vertical="center" textRotation="90"/>
      <protection locked="0" hidden="0"/>
    </xf>
    <xf numFmtId="0" fontId="0" fillId="0" borderId="37" applyAlignment="1" applyProtection="1" pivotButton="0" quotePrefix="0" xfId="0">
      <alignment horizontal="center" vertical="center" textRotation="90"/>
      <protection locked="0" hidden="0"/>
    </xf>
    <xf numFmtId="0" fontId="0" fillId="0" borderId="25" applyAlignment="1" pivotButton="0" quotePrefix="0" xfId="0">
      <alignment horizontal="center" vertical="center" textRotation="90" wrapText="1"/>
    </xf>
    <xf numFmtId="0" fontId="0" fillId="0" borderId="21" applyAlignment="1" pivotButton="0" quotePrefix="0" xfId="0">
      <alignment horizontal="center" vertical="center" textRotation="90" wrapText="1"/>
    </xf>
    <xf numFmtId="14" fontId="0" fillId="0" borderId="8" applyAlignment="1" applyProtection="1" pivotButton="0" quotePrefix="0" xfId="0">
      <alignment horizontal="center" vertical="center" textRotation="90"/>
      <protection locked="0" hidden="0"/>
    </xf>
    <xf numFmtId="0" fontId="0" fillId="0" borderId="8" applyAlignment="1" applyProtection="1" pivotButton="0" quotePrefix="0" xfId="0">
      <alignment horizontal="center" vertical="center" textRotation="90"/>
      <protection locked="0" hidden="0"/>
    </xf>
    <xf numFmtId="0" fontId="0" fillId="0" borderId="22" applyAlignment="1" pivotButton="0" quotePrefix="0" xfId="0">
      <alignment horizontal="center" vertical="center" textRotation="90" wrapText="1"/>
    </xf>
    <xf numFmtId="0" fontId="0" fillId="2" borderId="40" applyAlignment="1" pivotButton="0" quotePrefix="0" xfId="0">
      <alignment horizontal="center" vertical="center" textRotation="90"/>
    </xf>
    <xf numFmtId="0" fontId="0" fillId="2" borderId="0" applyAlignment="1" pivotButton="0" quotePrefix="0" xfId="0">
      <alignment horizontal="center" vertical="center" textRotation="90"/>
    </xf>
    <xf numFmtId="0" fontId="0" fillId="2" borderId="39" applyAlignment="1" pivotButton="0" quotePrefix="0" xfId="0">
      <alignment horizontal="center" vertical="center" textRotation="90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23" applyAlignment="1" pivotButton="0" quotePrefix="0" xfId="0">
      <alignment horizontal="center" vertical="center" textRotation="90" wrapText="1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 textRotation="90" wrapText="1"/>
    </xf>
    <xf numFmtId="0" fontId="0" fillId="0" borderId="49" applyAlignment="1" pivotButton="0" quotePrefix="0" xfId="0">
      <alignment horizontal="center" vertical="center" textRotation="90"/>
    </xf>
    <xf numFmtId="0" fontId="0" fillId="0" borderId="50" applyAlignment="1" pivotButton="0" quotePrefix="0" xfId="0">
      <alignment horizontal="center" vertical="center" textRotation="90"/>
    </xf>
    <xf numFmtId="0" fontId="0" fillId="0" borderId="13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 textRotation="90" wrapText="1"/>
    </xf>
    <xf numFmtId="0" fontId="0" fillId="0" borderId="50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/>
    </xf>
    <xf numFmtId="0" fontId="0" fillId="4" borderId="42" applyAlignment="1" pivotButton="0" quotePrefix="0" xfId="0">
      <alignment horizontal="center" vertical="center"/>
    </xf>
    <xf numFmtId="0" fontId="0" fillId="4" borderId="3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58" applyAlignment="1" pivotButton="0" quotePrefix="0" xfId="0">
      <alignment horizontal="center" vertical="center" textRotation="90" wrapText="1"/>
    </xf>
    <xf numFmtId="0" fontId="0" fillId="0" borderId="56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6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49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50" pivotButton="0" quotePrefix="0" xfId="0"/>
    <xf numFmtId="0" fontId="0" fillId="0" borderId="28" applyAlignment="1" pivotButton="0" quotePrefix="0" xfId="0">
      <alignment horizontal="center" vertical="center" textRotation="90" wrapText="1"/>
    </xf>
    <xf numFmtId="0" fontId="0" fillId="0" borderId="29" applyAlignment="1" pivotButton="0" quotePrefix="0" xfId="0">
      <alignment horizontal="center" vertical="center" textRotation="90"/>
    </xf>
    <xf numFmtId="0" fontId="0" fillId="0" borderId="62" applyAlignment="1" pivotButton="0" quotePrefix="0" xfId="0">
      <alignment horizontal="center" vertical="center" textRotation="90"/>
    </xf>
    <xf numFmtId="0" fontId="0" fillId="2" borderId="52" applyAlignment="1" pivotButton="0" quotePrefix="0" xfId="0">
      <alignment horizontal="center" vertical="center" textRotation="90"/>
    </xf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63" pivotButton="0" quotePrefix="0" xfId="0"/>
    <xf numFmtId="0" fontId="0" fillId="0" borderId="39" pivotButton="0" quotePrefix="0" xfId="0"/>
    <xf numFmtId="0" fontId="0" fillId="0" borderId="5" applyProtection="1" pivotButton="0" quotePrefix="0" xfId="0">
      <protection locked="0" hidden="0"/>
    </xf>
    <xf numFmtId="0" fontId="0" fillId="0" borderId="44" pivotButton="0" quotePrefix="0" xfId="0"/>
    <xf numFmtId="0" fontId="0" fillId="0" borderId="2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65" pivotButton="0" quotePrefix="0" xfId="0"/>
    <xf numFmtId="0" fontId="0" fillId="0" borderId="64" pivotButton="0" quotePrefix="0" xfId="0"/>
    <xf numFmtId="0" fontId="0" fillId="0" borderId="6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5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/>
    </xf>
    <xf numFmtId="0" fontId="0" fillId="4" borderId="54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34" pivotButton="0" quotePrefix="0" xfId="0"/>
    <xf numFmtId="0" fontId="3" fillId="8" borderId="0" applyAlignment="1" pivotButton="0" quotePrefix="0" xfId="0">
      <alignment horizontal="center"/>
    </xf>
    <xf numFmtId="164" fontId="0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4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5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6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7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8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9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0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1.xml><?xml version="1.0" encoding="utf-8"?>
<wsDr xmlns="http://schemas.openxmlformats.org/drawingml/2006/spreadsheetDrawing">
  <twoCellAnchor editAs="oneCell">
    <from>
      <col>2</col>
      <colOff>62830</colOff>
      <row>0</row>
      <rowOff>44667</rowOff>
    </from>
    <to>
      <col>4</col>
      <colOff>208189</colOff>
      <row>0</row>
      <rowOff>503750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2455" y="44667"/>
          <a:ext cx="850209" cy="459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2.xml><?xml version="1.0" encoding="utf-8"?>
<wsDr xmlns="http://schemas.openxmlformats.org/drawingml/2006/spreadsheetDrawing">
  <twoCellAnchor editAs="oneCell">
    <from>
      <col>22</col>
      <colOff>190501</colOff>
      <row>0</row>
      <rowOff>41413</rowOff>
    </from>
    <to>
      <col>24</col>
      <colOff>173935</colOff>
      <row>2</row>
      <rowOff>147442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433892" y="41413"/>
          <a:ext cx="960782" cy="48702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8" activePane="bottomRight" state="frozen"/>
      <selection pane="topRight" activeCell="E51" sqref="E51"/>
      <selection pane="bottomLeft" activeCell="E51" sqref="E51"/>
      <selection pane="bottomRight" activeCell="A5" sqref="A5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Oh+L9dIAvINtr22XKX6EKA==" formatRows="0" sort="0" spinCount="100000" hashValue="1g8CpvRWKqReDhHUi7EVgRreL0gouOfriXfGK+HxH4OtpViX9RdnGmDABbdT12EG83k5z3rFYL1ZoMvzC7p6n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Rc5w/80qwG/oFYSFSdVASQ==" formatRows="0" sort="0" spinCount="100000" hashValue="FU4xup8a5xF6IL1tdREQKm7Zp7xppYABy7or7Eh6FKYPsY6Fa2UU2+TTdwqBUvRtmz8TrWRXT+xhwlbP8bQKP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sCgvQECiu3xrpo8uRXzu5A==" formatRows="0" sort="0" spinCount="100000" hashValue="0n67XctobYMX8LEhs6JWzB2njFJBRBdMx/DjncYASztnuMK+Y9OKxYuZ3NAIrtZyyZ4IoSDbpfiAF0kb3JSrf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WNoo8LUsTdjqDvfKiRvEQ==" formatRows="0" sort="0" spinCount="100000" hashValue="i9Ui0moa1bv+/JwFN+qtat4ImiSUCc85DQ+6CnmKw+S8lhmjGR9Hf+aTMqyZ0O2UGzKG9FNBQhBvDZA9qhhPtQ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iyerqVFBwhcv2CdUrL9C8w==" formatRows="0" sort="0" spinCount="100000" hashValue="R0+e1Xz60+tMRZZmguz/sdSbPb58cazICHgN0OwXbPqCr/uuuEbPYR1/VWBglcVZuwwTjF1naJwm4QyxkmY4P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44UKeX2Vr1mu5L0IeQ4QXQ==" formatRows="0" sort="0" spinCount="100000" hashValue="jMtoK/3RuqiE5IP7Mk+ZB6Tdw01+AacEh+eib/YxxRg7o5YMCUoVOJPRVECU+RmOfZpebSYAIR744iEbVliGtQ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WIYVzJ7syNbKjm0zXovExA==" formatRows="0" sort="0" spinCount="100000" hashValue="KDFZ76Ni98wLTeNDIAwA7mkA/I9EedlTCh2SukuNEA6RgCS+tf69DJKJrjodZDW4JnLv3ZOtZQsRs0QEdGkHn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DsUg1aC3QworSz1zA/tEsA==" formatRows="0" sort="0" spinCount="100000" hashValue="J4Q74h6eMb/aG78okuRc+GBpEo2CfmrAZ4idKD0jF4jBYXDyGjgU1Q3l7479i2jC5yYneq+N/QOLKLvzFbqXF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E51" sqref="E51"/>
      <selection pane="bottomLeft" activeCell="E51" sqref="E51"/>
      <selection pane="bottomRight" activeCell="J6" sqref="J6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p+X+crq7vAnnqkbNwB9J1A==" formatRows="0" sort="0" spinCount="100000" hashValue="Tdo+gt1pGB9uA1RTVlctyfnhUjJwFZwXF22cJGYf32yGTCTPVy9ilFs6LBvwgELtvPmRCby6g6n7a4li1dYpv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WjIil7AWLpwMgog5O2Vslw==" formatRows="0" sort="0" spinCount="100000" hashValue="JEmeGvXR+f2JdJDOTlvLuZ+Kfwb2Xbf6EX3zyE9g+POve7MRp/8o468OlzcKyWdTt3ys49L4Ew7XU0kK7QPfl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Q6HZzGnnHeKMkCDXqJPX3g==" formatRows="0" sort="0" spinCount="100000" hashValue="Pal4WSbrAjy0k5qjIBlNHB9Mi1aFt2UCXY3Jsam3MfSa9DxvKEvGaLA9AXbdfYAYqglCTtEhzP2bam/co3VKS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0LOoBSr+aqo51cP3UiZ/Ug==" formatRows="0" sort="0" spinCount="100000" hashValue="ddZIZltUCBwSG9KI/BNVog+bjrjD6pnctcR5/+EWbZi01h10XVIq0JZtR5aEo05n0WqcTEATHplQk7uTZCF7Q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a+bC/JmCLWaDzauu2zMPfw==" formatRows="0" sort="0" spinCount="100000" hashValue="fBcgMeCuGxuWfS8W41oYeDvhGzpeZT/y2vx+3XWnUgZOO8E1ASq8Xj/v+vOp/noTjDkQnwsvXoewb72LPMcmX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kdgnLBbE1Fp4GqBwIgKkA==" formatRows="0" sort="0" spinCount="100000" hashValue="wdTgr6dKNszSO1ylqF7A/E5U945oCAzvWFjy+hWvPppRN2KZy8vvwtl6+2eNPnuBfFx45At0nbScHVf7iZqke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mJToU/jDj2wNPiLICaXZtg==" formatRows="0" sort="0" spinCount="100000" hashValue="4N3LQRjQvweiKXE17x6xLeKIohLC33UqqzmlD5CwC6zYTC6g5EEJoJX2toFAU+ZcXXcuObQm993GSBlm3XEA3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k3k/6t1AznsFLxxG2ie8kQ==" formatRows="0" sort="0" spinCount="100000" hashValue="v1FqzGzy31uhqGBQuoIMNUS0JUUP9SfS1a8chBgwa5CIp1l/HFt7PH01KSSbFxZiHEOviU4kfIKR6BRT7z9Lc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9kUqLldBAcHRQt9Sm87T8w==" formatRows="0" sort="0" spinCount="100000" hashValue="ZiRjbSCe8DDIWDw47CfhreEDsl6+S8DUdFBlvspgtqExqKGdXCBpmmfIiuy1TWMv5lKcsAhW05lXuQ74wVGNE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8RvEuIXvyppmnKRkNkXKgw==" formatRows="0" sort="0" spinCount="100000" hashValue="f0n19VlAQqiKALeQxcJjqpWenyWiZgY7fz0jcK9IabCVmUWqmID5TF/8TV7lo/6j0Q47YDnTT5bb01FK8oH5D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E8p62HeRa/4+boaRvgpBiw==" formatRows="0" sort="0" spinCount="100000" hashValue="VLD2QqCmQM8sSKDxRV/FGHZYCyPLq9zzDHz7e5kyv/PejHxzWcMneag8iKeIk6pml8fjXnHSMv3XLzwJrxNbp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UQKK+MgMCA/7FTVVSt40rg==" formatRows="0" sort="0" spinCount="100000" hashValue="6PHr4BvYf6l9D0cim4JaaF5Za4y3c9NHzT6nEf74OFNHvqz7I1O8j2acScjSH6PwtkHD0couY7W5ghrsecNZh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H0GUKS1wmMlgs8gArHqrbg==" formatRows="0" sort="0" spinCount="100000" hashValue="47xElN7qA97vaVRADMEQkRqvP57breGb+h8JNPbaGpicyf+eSRsUI/B4au0N/0GfBSRVT1bAUtVoQ5RblAmw+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eZD4rxcjBFB7J2RIfQQ0wA==" formatRows="0" sort="0" spinCount="100000" hashValue="gNAW8GC5Lk6cHVp/JSQdljjtUbqRJMvvr24NfIfhjoIRliQPm7LhM0N3Dn6Upg4F1HTHWsmsXOqNZhwOwloJf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A51" sqref="A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MidlfJJFvYkH7cV+t9/oag==" formatRows="0" sort="0" spinCount="100000" hashValue="rrXTP80+wTWJ5pkD4rGnQuTGqU6BvGWRhPyOQQ5BXc7ai3x619RW4FAF8eYMW21XHdsFTadSlPVPjg9z4STNl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13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h5jzN3/8ftQbtNX0XTFMng==" formatRows="0" sort="0" spinCount="100000" hashValue="3Bzpa4nYHUkfNhh6X3Kz8owkrNDDTpPj57j2r+eaxiA9lwCW9RH30LrgGi7pBoCFo7zMxXXdL8kR0iayebqPB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E51" sqref="E51"/>
      <selection pane="bottomLeft" activeCell="E51" sqref="E51"/>
      <selection pane="bottomRight" activeCell="E51" sqref="E51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XVRJgxnBNysOo2PEuCjhiA==" formatRows="0" sort="0" spinCount="100000" hashValue="4Nu66FmnGKHbhvxO6qqvz1Cl0MO7DyCgBByWpThJ4NUJKiMX9c4Ni/+XFNFPnVHtXe8OEcOjDPkEs/SMHpjp/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E51" sqref="E51"/>
      <selection pane="bottomLeft" activeCell="E51" sqref="E51"/>
      <selection pane="bottomRight" activeCell="A5" sqref="A5:A39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MkJgJQLXqThWCb4C+IwFw==" formatRows="0" sort="0" spinCount="100000" hashValue="zI9o5fNxs+Ipx9Rtk88MYvZ8+G6lRLQ10wLvu3yUjo6i4262IyA4tPvfHt8Rcpz0lZTZsTYP1fSAccR769eFxQ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E51" sqref="E51"/>
      <selection pane="bottomLeft" activeCell="E51" sqref="E51"/>
      <selection pane="bottomRight" activeCell="A5" sqref="A5:A39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vxFcgBMJT2CWLvxi2a2s1A==" formatRows="0" sort="0" spinCount="100000" hashValue="1Ro+E/G15YtTRFf9UXY/vV+XwIE54c+xluiB1DJAqyf2LCYxrwD+FhZU+g2eQzahOYXfxPv/XV7z4wLmXu+0bQ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E51" sqref="E51"/>
      <selection pane="bottomLeft" activeCell="E51" sqref="E51"/>
      <selection pane="bottomRight" activeCell="A5" sqref="A5:A39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0a6UnTa3kWJXt27fIePCtA==" formatRows="0" sort="0" spinCount="100000" hashValue="CaPASZRfRVV8pLLLKztoq9O/bm5zIIZMmX6zYYVTuYWOjsSwydNTpZZrdf59ycPiv7obGOycwN/BgkGOd6qRxg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AR16" sqref="AR16"/>
      <selection pane="bottomLeft" activeCell="AR16" sqref="AR16"/>
      <selection pane="bottomRight" activeCell="AM5" sqref="AM5:AM29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5K5SUFFnm4xeZYw9abTkcg==" formatRows="0" sort="0" spinCount="100000" hashValue="iIFgDjO3Ol+YxsaeuafwU5P1kxQW7K8vDEAYvIy/W9Kuf4z6UvQp+PXqzO1v7B7FQniY3Wrfkz3VIxQp7W1znA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8" activePane="bottomRight" state="frozen"/>
      <selection pane="topRight" activeCell="AR16" sqref="AR16"/>
      <selection pane="bottomLeft" activeCell="AR16" sqref="AR16"/>
      <selection pane="bottomRight" activeCell="AM5" sqref="AM5:AM34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32" t="n"/>
      <c r="S5" s="11" t="n"/>
      <c r="T5" s="10" t="n"/>
      <c r="U5" s="36" t="n"/>
      <c r="V5" s="10" t="n"/>
      <c r="W5" s="11" t="n"/>
      <c r="X5" s="32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80" t="n"/>
      <c r="AJ5" s="77">
        <f>AI5*5</f>
        <v/>
      </c>
      <c r="AK5" s="80" t="n"/>
      <c r="AL5" s="77">
        <f>AK5*50</f>
        <v/>
      </c>
      <c r="AM5" s="80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30" t="n"/>
      <c r="S6" s="13" t="n"/>
      <c r="T6" s="12" t="n"/>
      <c r="U6" s="37" t="n"/>
      <c r="V6" s="12" t="n"/>
      <c r="W6" s="13" t="n"/>
      <c r="X6" s="30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0" t="n"/>
      <c r="AJ6" s="161" t="n"/>
      <c r="AK6" s="160" t="n"/>
      <c r="AL6" s="161" t="n"/>
      <c r="AM6" s="160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30" t="n"/>
      <c r="S7" s="13" t="n"/>
      <c r="T7" s="12" t="n"/>
      <c r="U7" s="37" t="n"/>
      <c r="V7" s="12" t="n"/>
      <c r="W7" s="13" t="n"/>
      <c r="X7" s="30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0" t="n"/>
      <c r="AJ7" s="161" t="n"/>
      <c r="AK7" s="160" t="n"/>
      <c r="AL7" s="161" t="n"/>
      <c r="AM7" s="160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30" t="n"/>
      <c r="S8" s="13" t="n"/>
      <c r="T8" s="12" t="n"/>
      <c r="U8" s="37" t="n"/>
      <c r="V8" s="12" t="n"/>
      <c r="W8" s="13" t="n"/>
      <c r="X8" s="30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0" t="n"/>
      <c r="AJ8" s="161" t="n"/>
      <c r="AK8" s="160" t="n"/>
      <c r="AL8" s="161" t="n"/>
      <c r="AM8" s="160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33" t="n"/>
      <c r="S9" s="15" t="n"/>
      <c r="T9" s="14" t="n"/>
      <c r="U9" s="39" t="n"/>
      <c r="V9" s="14" t="n"/>
      <c r="W9" s="15" t="n"/>
      <c r="X9" s="33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3" t="n"/>
      <c r="AJ9" s="164" t="n"/>
      <c r="AK9" s="163" t="n"/>
      <c r="AL9" s="164" t="n"/>
      <c r="AM9" s="163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32" t="n"/>
      <c r="S10" s="11" t="n"/>
      <c r="T10" s="10" t="n"/>
      <c r="U10" s="36" t="n"/>
      <c r="V10" s="10" t="n"/>
      <c r="W10" s="11" t="n"/>
      <c r="X10" s="32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80" t="n"/>
      <c r="AL10" s="77">
        <f>AK10*50</f>
        <v/>
      </c>
      <c r="AM10" s="80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30" t="n"/>
      <c r="S11" s="13" t="n"/>
      <c r="T11" s="12" t="n"/>
      <c r="U11" s="37" t="n"/>
      <c r="V11" s="12" t="n"/>
      <c r="W11" s="13" t="n"/>
      <c r="X11" s="30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0" t="n"/>
      <c r="AL11" s="161" t="n"/>
      <c r="AM11" s="160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30" t="n"/>
      <c r="S12" s="13" t="n"/>
      <c r="T12" s="12" t="n"/>
      <c r="U12" s="37" t="n"/>
      <c r="V12" s="12" t="n"/>
      <c r="W12" s="13" t="n"/>
      <c r="X12" s="30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0" t="n"/>
      <c r="AL12" s="161" t="n"/>
      <c r="AM12" s="160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30" t="n"/>
      <c r="S13" s="13" t="n"/>
      <c r="T13" s="12" t="n"/>
      <c r="U13" s="37" t="n"/>
      <c r="V13" s="12" t="n"/>
      <c r="W13" s="13" t="n"/>
      <c r="X13" s="30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0" t="n"/>
      <c r="AL13" s="161" t="n"/>
      <c r="AM13" s="160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33" t="n"/>
      <c r="S14" s="15" t="n"/>
      <c r="T14" s="14" t="n"/>
      <c r="U14" s="39" t="n"/>
      <c r="V14" s="14" t="n"/>
      <c r="W14" s="15" t="n"/>
      <c r="X14" s="33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3" t="n"/>
      <c r="AL14" s="164" t="n"/>
      <c r="AM14" s="163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32" t="n"/>
      <c r="S15" s="11" t="n"/>
      <c r="T15" s="10" t="n"/>
      <c r="U15" s="36" t="n"/>
      <c r="V15" s="10" t="n"/>
      <c r="W15" s="11" t="n"/>
      <c r="X15" s="32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80" t="n"/>
      <c r="AL15" s="77">
        <f>AK15*50</f>
        <v/>
      </c>
      <c r="AM15" s="80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30" t="n"/>
      <c r="S16" s="13" t="n"/>
      <c r="T16" s="12" t="n"/>
      <c r="U16" s="37" t="n"/>
      <c r="V16" s="12" t="n"/>
      <c r="W16" s="13" t="n"/>
      <c r="X16" s="30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0" t="n"/>
      <c r="AL16" s="161" t="n"/>
      <c r="AM16" s="160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30" t="n"/>
      <c r="S17" s="13" t="n"/>
      <c r="T17" s="12" t="n"/>
      <c r="U17" s="37" t="n"/>
      <c r="V17" s="12" t="n"/>
      <c r="W17" s="13" t="n"/>
      <c r="X17" s="30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0" t="n"/>
      <c r="AL17" s="161" t="n"/>
      <c r="AM17" s="160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30" t="n"/>
      <c r="S18" s="13" t="n"/>
      <c r="T18" s="12" t="n"/>
      <c r="U18" s="37" t="n"/>
      <c r="V18" s="12" t="n"/>
      <c r="W18" s="13" t="n"/>
      <c r="X18" s="30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0" t="n"/>
      <c r="AL18" s="161" t="n"/>
      <c r="AM18" s="160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33" t="n"/>
      <c r="S19" s="15" t="n"/>
      <c r="T19" s="14" t="n"/>
      <c r="U19" s="39" t="n"/>
      <c r="V19" s="14" t="n"/>
      <c r="W19" s="15" t="n"/>
      <c r="X19" s="33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3" t="n"/>
      <c r="AL19" s="164" t="n"/>
      <c r="AM19" s="163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32" t="n"/>
      <c r="S20" s="11" t="n"/>
      <c r="T20" s="10" t="n"/>
      <c r="U20" s="36" t="n"/>
      <c r="V20" s="10" t="n"/>
      <c r="W20" s="11" t="n"/>
      <c r="X20" s="32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80" t="n"/>
      <c r="AL20" s="77">
        <f>AK20*50</f>
        <v/>
      </c>
      <c r="AM20" s="80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30" t="n"/>
      <c r="S21" s="13" t="n"/>
      <c r="T21" s="12" t="n"/>
      <c r="U21" s="37" t="n"/>
      <c r="V21" s="12" t="n"/>
      <c r="W21" s="13" t="n"/>
      <c r="X21" s="30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0" t="n"/>
      <c r="AL21" s="161" t="n"/>
      <c r="AM21" s="160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30" t="n"/>
      <c r="S22" s="13" t="n"/>
      <c r="T22" s="12" t="n"/>
      <c r="U22" s="37" t="n"/>
      <c r="V22" s="12" t="n"/>
      <c r="W22" s="13" t="n"/>
      <c r="X22" s="30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0" t="n"/>
      <c r="AL22" s="161" t="n"/>
      <c r="AM22" s="160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30" t="n"/>
      <c r="S23" s="13" t="n"/>
      <c r="T23" s="12" t="n"/>
      <c r="U23" s="37" t="n"/>
      <c r="V23" s="12" t="n"/>
      <c r="W23" s="13" t="n"/>
      <c r="X23" s="30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0" t="n"/>
      <c r="AL23" s="161" t="n"/>
      <c r="AM23" s="160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33" t="n"/>
      <c r="S24" s="15" t="n"/>
      <c r="T24" s="14" t="n"/>
      <c r="U24" s="39" t="n"/>
      <c r="V24" s="14" t="n"/>
      <c r="W24" s="15" t="n"/>
      <c r="X24" s="33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3" t="n"/>
      <c r="AL24" s="164" t="n"/>
      <c r="AM24" s="163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41" t="n"/>
      <c r="K25" s="42" t="n"/>
      <c r="L25" s="41" t="n"/>
      <c r="M25" s="42" t="n"/>
      <c r="N25" s="41" t="n"/>
      <c r="O25" s="42" t="n"/>
      <c r="P25" s="41" t="n"/>
      <c r="Q25" s="42" t="n"/>
      <c r="R25" s="29" t="n"/>
      <c r="S25" s="42" t="n"/>
      <c r="T25" s="41" t="n"/>
      <c r="U25" s="43" t="n"/>
      <c r="V25" s="41" t="n"/>
      <c r="W25" s="42" t="n"/>
      <c r="X25" s="29" t="n"/>
      <c r="Y25" s="42" t="n"/>
      <c r="Z25" s="41" t="n"/>
      <c r="AA25" s="42" t="n"/>
      <c r="AB25" s="41" t="n"/>
      <c r="AC25" s="42" t="n"/>
      <c r="AD25" s="41" t="n"/>
      <c r="AE25" s="42" t="n"/>
      <c r="AF25" s="41" t="n"/>
      <c r="AG25" s="42" t="n"/>
      <c r="AH25" s="158">
        <f>SUM(J25:AG29)</f>
        <v/>
      </c>
      <c r="AI25" s="93" t="n"/>
      <c r="AJ25" s="77">
        <f>AI25*5</f>
        <v/>
      </c>
      <c r="AK25" s="80" t="n"/>
      <c r="AL25" s="77">
        <f>AK25*50</f>
        <v/>
      </c>
      <c r="AM25" s="80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30" t="n"/>
      <c r="S26" s="13" t="n"/>
      <c r="T26" s="12" t="n"/>
      <c r="U26" s="37" t="n"/>
      <c r="V26" s="12" t="n"/>
      <c r="W26" s="13" t="n"/>
      <c r="X26" s="30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0" t="n"/>
      <c r="AL26" s="161" t="n"/>
      <c r="AM26" s="160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30" t="n"/>
      <c r="S27" s="13" t="n"/>
      <c r="T27" s="12" t="n"/>
      <c r="U27" s="37" t="n"/>
      <c r="V27" s="12" t="n"/>
      <c r="W27" s="13" t="n"/>
      <c r="X27" s="30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0" t="n"/>
      <c r="AL27" s="161" t="n"/>
      <c r="AM27" s="160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30" t="n"/>
      <c r="S28" s="13" t="n"/>
      <c r="T28" s="12" t="n"/>
      <c r="U28" s="37" t="n"/>
      <c r="V28" s="12" t="n"/>
      <c r="W28" s="13" t="n"/>
      <c r="X28" s="30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0" t="n"/>
      <c r="AL28" s="161" t="n"/>
      <c r="AM28" s="160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2" t="n"/>
      <c r="Q29" s="13" t="n"/>
      <c r="R29" s="33" t="n"/>
      <c r="S29" s="15" t="n"/>
      <c r="T29" s="14" t="n"/>
      <c r="U29" s="39" t="n"/>
      <c r="V29" s="14" t="n"/>
      <c r="W29" s="15" t="n"/>
      <c r="X29" s="33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3" t="n"/>
      <c r="AL29" s="164" t="n"/>
      <c r="AM29" s="163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2" t="n"/>
      <c r="Q30" s="13" t="n"/>
      <c r="R30" s="32" t="n"/>
      <c r="S30" s="11" t="n"/>
      <c r="T30" s="10" t="n"/>
      <c r="U30" s="36" t="n"/>
      <c r="V30" s="10" t="n"/>
      <c r="W30" s="11" t="n"/>
      <c r="X30" s="32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80" t="n"/>
      <c r="AL30" s="77">
        <f>AK30*50</f>
        <v/>
      </c>
      <c r="AM30" s="80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30" t="n"/>
      <c r="S31" s="13" t="n"/>
      <c r="T31" s="12" t="n"/>
      <c r="U31" s="37" t="n"/>
      <c r="V31" s="12" t="n"/>
      <c r="W31" s="13" t="n"/>
      <c r="X31" s="30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0" t="n"/>
      <c r="AL31" s="161" t="n"/>
      <c r="AM31" s="160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30" t="n"/>
      <c r="S32" s="13" t="n"/>
      <c r="T32" s="12" t="n"/>
      <c r="U32" s="37" t="n"/>
      <c r="V32" s="12" t="n"/>
      <c r="W32" s="13" t="n"/>
      <c r="X32" s="30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0" t="n"/>
      <c r="AL32" s="161" t="n"/>
      <c r="AM32" s="160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30" t="n"/>
      <c r="S33" s="13" t="n"/>
      <c r="T33" s="12" t="n"/>
      <c r="U33" s="37" t="n"/>
      <c r="V33" s="12" t="n"/>
      <c r="W33" s="13" t="n"/>
      <c r="X33" s="30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0" t="n"/>
      <c r="AL33" s="161" t="n"/>
      <c r="AM33" s="160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34" t="n"/>
      <c r="K34" s="35" t="n"/>
      <c r="L34" s="34" t="n"/>
      <c r="M34" s="35" t="n"/>
      <c r="N34" s="34" t="n"/>
      <c r="O34" s="35" t="n"/>
      <c r="P34" s="34" t="n"/>
      <c r="Q34" s="35" t="n"/>
      <c r="R34" s="31" t="n"/>
      <c r="S34" s="35" t="n"/>
      <c r="T34" s="34" t="n"/>
      <c r="U34" s="38" t="n"/>
      <c r="V34" s="34" t="n"/>
      <c r="W34" s="35" t="n"/>
      <c r="X34" s="31" t="n"/>
      <c r="Y34" s="35" t="n"/>
      <c r="Z34" s="34" t="n"/>
      <c r="AA34" s="35" t="n"/>
      <c r="AB34" s="34" t="n"/>
      <c r="AC34" s="35" t="n"/>
      <c r="AD34" s="34" t="n"/>
      <c r="AE34" s="35" t="n"/>
      <c r="AF34" s="34" t="n"/>
      <c r="AG34" s="35" t="n"/>
      <c r="AH34" s="162" t="n"/>
      <c r="AI34" s="166" t="n"/>
      <c r="AJ34" s="164" t="n"/>
      <c r="AK34" s="163" t="n"/>
      <c r="AL34" s="164" t="n"/>
      <c r="AM34" s="163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32" t="n"/>
      <c r="S35" s="11" t="n"/>
      <c r="T35" s="10" t="n"/>
      <c r="U35" s="36" t="n"/>
      <c r="V35" s="10" t="n"/>
      <c r="W35" s="11" t="n"/>
      <c r="X35" s="32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80" t="n"/>
      <c r="AL35" s="77">
        <f>AK35*50</f>
        <v/>
      </c>
      <c r="AM35" s="80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30" t="n"/>
      <c r="S36" s="13" t="n"/>
      <c r="T36" s="12" t="n"/>
      <c r="U36" s="37" t="n"/>
      <c r="V36" s="12" t="n"/>
      <c r="W36" s="13" t="n"/>
      <c r="X36" s="30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0" t="n"/>
      <c r="AL36" s="161" t="n"/>
      <c r="AM36" s="160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30" t="n"/>
      <c r="S37" s="13" t="n"/>
      <c r="T37" s="12" t="n"/>
      <c r="U37" s="37" t="n"/>
      <c r="V37" s="12" t="n"/>
      <c r="W37" s="13" t="n"/>
      <c r="X37" s="30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0" t="n"/>
      <c r="AL37" s="161" t="n"/>
      <c r="AM37" s="160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30" t="n"/>
      <c r="S38" s="13" t="n"/>
      <c r="T38" s="12" t="n"/>
      <c r="U38" s="37" t="n"/>
      <c r="V38" s="12" t="n"/>
      <c r="W38" s="13" t="n"/>
      <c r="X38" s="30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0" t="n"/>
      <c r="AL38" s="161" t="n"/>
      <c r="AM38" s="160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33" t="n"/>
      <c r="S39" s="15" t="n"/>
      <c r="T39" s="14" t="n"/>
      <c r="U39" s="39" t="n"/>
      <c r="V39" s="14" t="n"/>
      <c r="W39" s="15" t="n"/>
      <c r="X39" s="33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3" t="n"/>
      <c r="AL39" s="164" t="n"/>
      <c r="AM39" s="163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40">
        <f>J5+J6+J7+J8+J9+J10+J11+J12+J13+J14+J15+J16+J17+J18+J19+J20+J21+J22+J23+J24+J25+J26+J27+J28+J29+J30+J31+J32+J33+J34+J35+J36+J37+J38+J39</f>
        <v/>
      </c>
      <c r="K40" s="40">
        <f>K5+K6+K7+K8+K9+K10+K11+K12+K13+K14+K15+K16+K17+K18+K19+K20+K21+K22+K23+K24+K25+K26+K27+K28+K29+K30+K31+K32+K33+K34+K35+K36+K37+K38+K39</f>
        <v/>
      </c>
      <c r="L40" s="40">
        <f>L5+L6+L7+L8+L9+L10+L11+L12+L13+L14+L15+L16+L17+L18+L19+L20+L21+L22+L23+L24+L25+L26+L27+L28+L29+L30+L31+L32+L33+L34+L35+L36+L37+L38+L39</f>
        <v/>
      </c>
      <c r="M40" s="40">
        <f>M5+M6+M7+M8+M9+M10+M11+M12+M13+M14+M15+M16+M17+M18+M19+M20+M21+M22+M23+M24+M25+M26+M27+M28+M29+M30+M31+M32+M33+M34+M35+M36+M37+M38+M39</f>
        <v/>
      </c>
      <c r="N40" s="40">
        <f>N5+N6+N7+N8+N9+N10+N11+N12+N13+N14+N15+N16+N17+N18+N19+N20+N21+N22+N23+N24+N25+N26+N27+N28+N29+N30+N31+N32+N33+N34+N35+N36+N37+N38+N39</f>
        <v/>
      </c>
      <c r="O40" s="40">
        <f>O5+O6+O7+O8+O9+O10+O11+O12+O13+O14+O15+O16+O17+O18+O19+O20+O21+O22+O23+O24+O25+O26+O27+O28+O29+O30+O31+O32+O33+O34+O35+O36+O37+O38+O39</f>
        <v/>
      </c>
      <c r="P40" s="40">
        <f>P5+P6+P7+P8+P9+P10+P11+P12+P13+P14+P15+P16+P17+P18+P19+P20+P21+P22+P23+P24+P25+P26+P27+P28+P29+P30+P31+P32+P33+P34+P35+P36+P37+P38+P39</f>
        <v/>
      </c>
      <c r="Q40" s="40">
        <f>Q5+Q6+Q7+Q8+Q9+Q10+Q11+Q12+Q13+Q14+Q15+Q16+Q17+Q18+Q19+Q20+Q21+Q22+Q23+Q24+Q25+Q26+Q27+Q28+Q29+Q30+Q31+Q32+Q33+Q34+Q35+Q36+Q37+Q38+Q39</f>
        <v/>
      </c>
      <c r="R40" s="40">
        <f>R5+R6+R7+R8+R9+R10+R11+R12+R13+R14+R15+R16+R17+R18+R19+R20+R21+R22+R23+R24+R25+R26+R27+R28+R29+R30+R31+R32+R33+R34+R35+R36+R37+R38+R39</f>
        <v/>
      </c>
      <c r="S40" s="40">
        <f>S5+S6+S7+S8+S9+S10+S11+S12+S13+S14+S15+S16+S17+S18+S19+S20+S21+S22+S23+S24+S25+S26+S27+S28+S29+S30+S31+S32+S33+S34+S35+S36+S37+S38+S39</f>
        <v/>
      </c>
      <c r="T40" s="40">
        <f>T5+T6+T7+T8+T9+T10+T11+T12+T13+T14+T15+T16+T17+T18+T19+T20+T21+T22+T23+T24+T25+T26+T27+T28+T29+T30+T31+T32+T33+T34+T35+T36+T37+T38+T39</f>
        <v/>
      </c>
      <c r="U40" s="40">
        <f>U5+U6+U7+U8+U9+U10+U11+U12+U13+U14+U15+U16+U17+U18+U19+U20+U21+U22+U23+U24+U25+U26+U27+U28+U29+U30+U31+U32+U33+U34+U35+U36+U37+U38+U39</f>
        <v/>
      </c>
      <c r="V40" s="40">
        <f>V5+V6+V7+V8+V9+V10+V11+V12+V13+V14+V15+V16+V17+V18+V19+V20+V21+V22+V23+V24+V25+V26+V27+V28+V29+V30+V31+V32+V33+V34+V35+V36+V37+V38+V39</f>
        <v/>
      </c>
      <c r="W40" s="40">
        <f>W5+W6+W7+W8+W9+W10+W11+W12+W13+W14+W15+W16+W17+W18+W19+W20+W21+W22+W23+W24+W25+W26+W27+W28+W29+W30+W31+W32+W33+W34+W35+W36+W37+W38+W39</f>
        <v/>
      </c>
      <c r="X40" s="40">
        <f>X5+X6+X7+X8+X9+X10+X11+X12+X13+X14+X15+X16+X17+X18+X19+X20+X21+X22+X23+X24+X25+X26+X27+X28+X29+X30+X31+X32+X33+X34+X35+X36+X37+X38+X39</f>
        <v/>
      </c>
      <c r="Y40" s="40">
        <f>Y5+Y6+Y7+Y8+Y9+Y10+Y11+Y12+Y13+Y14+Y15+Y16+Y17+Y18+Y19+Y20+Y21+Y22+Y23+Y24+Y25+Y26+Y27+Y28+Y29+Y30+Y31+Y32+Y33+Y34+Y35+Y36+Y37+Y38+Y39</f>
        <v/>
      </c>
      <c r="Z40" s="40">
        <f>Z5+Z6+Z7+Z8+Z9+Z10+Z11+Z12+Z13+Z14+Z15+Z16+Z17+Z18+Z19+Z20+Z21+Z22+Z23+Z24+Z25+Z26+Z27+Z28+Z29+Z30+Z31+Z32+Z33+Z34+Z35+Z36+Z37+Z38+Z39</f>
        <v/>
      </c>
      <c r="AA40" s="40">
        <f>AA5+AA6+AA7+AA8+AA9+AA10+AA11+AA12+AA13+AA14+AA15+AA16+AA17+AA18+AA19+AA20+AA21+AA22+AA23+AA24+AA25+AA26+AA27+AA28+AA29+AA30+AA31+AA32+AA33+AA34+AA35+AA36+AA37+AA38+AA39</f>
        <v/>
      </c>
      <c r="AB40" s="40">
        <f>AB5+AB6+AB7+AB8+AB9+AB10+AB11+AB12+AB13+AB14+AB15+AB16+AB17+AB18+AB19+AB20+AB21+AB22+AB23+AB24+AB25+AB26+AB27+AB28+AB29+AB30+AB31+AB32+AB33+AB34+AB35+AB36+AB37+AB38+AB39</f>
        <v/>
      </c>
      <c r="AC40" s="40">
        <f>AC5+AC6+AC7+AC8+AC9+AC10+AC11+AC12+AC13+AC14+AC15+AC16+AC17+AC18+AC19+AC20+AC21+AC22+AC23+AC24+AC25+AC26+AC27+AC28+AC29+AC30+AC31+AC32+AC33+AC34+AC35+AC36+AC37+AC38+AC39</f>
        <v/>
      </c>
      <c r="AD40" s="40">
        <f>AD5+AD6+AD7+AD8+AD9+AD10+AD11+AD12+AD13+AD14+AD15+AD16+AD17+AD18+AD19+AD20+AD21+AD22+AD23+AD24+AD25+AD26+AD27+AD28+AD29+AD30+AD31+AD32+AD33+AD34+AD35+AD36+AD37+AD38+AD39</f>
        <v/>
      </c>
      <c r="AE40" s="40">
        <f>AE5+AE6+AE7+AE8+AE9+AE10+AE11+AE12+AE13+AE14+AE15+AE16+AE17+AE18+AE19+AE20+AE21+AE22+AE23+AE24+AE25+AE26+AE27+AE28+AE29+AE30+AE31+AE32+AE33+AE34+AE35+AE36+AE37+AE38+AE39</f>
        <v/>
      </c>
      <c r="AF40" s="40">
        <f>AF5+AF6+AF7+AF8+AF9+AF10+AF11+AF12+AF13+AF14+AF15+AF16+AF17+AF18+AF19+AF20+AF21+AF22+AF23+AF24+AF25+AF26+AF27+AF28+AF29+AF30+AF31+AF32+AF33+AF34+AF35+AF36+AF37+AF38+AF39</f>
        <v/>
      </c>
      <c r="AG40" s="40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5dPbUXIvaFSGCzgy7N4XuQ==" formatRows="0" sort="0" spinCount="100000" hashValue="kdpposuFd5heY71gt/Lz4e2ZYbdn6k9v/cbn9AAGjtFrqk4VzwdQdQ0nU4LgTsojtNCk3xrN7G4ZZCGaxXtH7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85" zoomScaleNormal="85" workbookViewId="0">
      <pane xSplit="9" ySplit="4" topLeftCell="J5" activePane="bottomRight" state="frozen"/>
      <selection pane="topRight" activeCell="AR16" sqref="AR16"/>
      <selection pane="bottomLeft" activeCell="AR16" sqref="AR16"/>
      <selection pane="bottomRight" activeCell="AK30" sqref="AK30:AK34"/>
    </sheetView>
  </sheetViews>
  <sheetFormatPr baseColWidth="8" defaultRowHeight="15"/>
  <cols>
    <col width="5.42578125" bestFit="1" customWidth="1" min="1" max="1"/>
    <col width="6.7109375" customWidth="1" min="2" max="2"/>
    <col width="4.85546875" customWidth="1" min="3" max="3"/>
    <col width="5.7109375" customWidth="1" min="4" max="4"/>
    <col width="6.7109375" customWidth="1" min="5" max="9"/>
    <col width="5.42578125" bestFit="1" customWidth="1" min="10" max="10"/>
    <col width="5.28515625" bestFit="1" customWidth="1" min="11" max="11"/>
    <col width="5.42578125" bestFit="1" customWidth="1" min="12" max="12"/>
    <col width="5.28515625" bestFit="1" customWidth="1" min="13" max="13"/>
    <col width="5.42578125" bestFit="1" customWidth="1" min="14" max="14"/>
    <col width="5.28515625" bestFit="1" customWidth="1" min="15" max="15"/>
    <col width="5.42578125" bestFit="1" customWidth="1" min="16" max="16"/>
    <col width="5.28515625" bestFit="1" customWidth="1" min="17" max="17"/>
    <col width="5.42578125" bestFit="1" customWidth="1" min="18" max="18"/>
    <col width="5.28515625" bestFit="1" customWidth="1" min="19" max="19"/>
    <col width="5.42578125" bestFit="1" customWidth="1" min="20" max="20"/>
    <col width="5.28515625" bestFit="1" customWidth="1" min="21" max="21"/>
    <col width="5.42578125" bestFit="1" customWidth="1" min="22" max="22"/>
    <col width="5.28515625" bestFit="1" customWidth="1" min="23" max="23"/>
    <col width="5.42578125" bestFit="1" customWidth="1" min="24" max="24"/>
    <col width="5.28515625" bestFit="1" customWidth="1" min="25" max="25"/>
    <col width="5.42578125" bestFit="1" customWidth="1" min="26" max="26"/>
    <col width="5.28515625" bestFit="1" customWidth="1" min="27" max="27"/>
    <col width="5.42578125" bestFit="1" customWidth="1" min="28" max="28"/>
    <col width="5.28515625" bestFit="1" customWidth="1" min="29" max="29"/>
    <col width="5.42578125" bestFit="1" customWidth="1" min="30" max="30"/>
    <col width="5.28515625" bestFit="1" customWidth="1" min="31" max="31"/>
    <col width="5.42578125" bestFit="1" customWidth="1" min="32" max="32"/>
    <col width="5.28515625" bestFit="1" customWidth="1" min="33" max="33"/>
    <col width="6" bestFit="1" customWidth="1" min="34" max="34"/>
    <col width="7.28515625" customWidth="1" min="35" max="35"/>
    <col width="7.42578125" bestFit="1" customWidth="1" min="36" max="36"/>
    <col width="7.28515625" bestFit="1" customWidth="1" min="37" max="37"/>
    <col width="7.42578125" bestFit="1" customWidth="1" min="38" max="38"/>
    <col width="7.28515625" bestFit="1" customWidth="1" min="39" max="39"/>
    <col width="7.42578125" bestFit="1" customWidth="1" min="40" max="40"/>
  </cols>
  <sheetData>
    <row r="1" ht="45.75" customHeight="1" thickBot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8" t="n"/>
      <c r="AL1" s="138" t="n"/>
      <c r="AM1" s="138" t="n"/>
      <c r="AN1" s="22" t="n"/>
    </row>
    <row r="2" ht="30" customHeight="1" thickBot="1">
      <c r="A2" s="100" t="inlineStr">
        <is>
          <t>Дата</t>
        </is>
      </c>
      <c r="B2" s="111" t="inlineStr">
        <is>
          <t>Вид 
стирки</t>
        </is>
      </c>
      <c r="C2" s="111" t="inlineStr">
        <is>
          <t>Количество</t>
        </is>
      </c>
      <c r="D2" s="111" t="inlineStr">
        <is>
          <t>Общее время</t>
        </is>
      </c>
      <c r="E2" s="86" t="inlineStr">
        <is>
          <t>EMULSIFIER</t>
        </is>
      </c>
      <c r="F2" s="86" t="inlineStr">
        <is>
          <t>ALKALINE</t>
        </is>
      </c>
      <c r="G2" s="86" t="inlineStr">
        <is>
          <t xml:space="preserve">BLEACH </t>
        </is>
      </c>
      <c r="H2" s="86" t="inlineStr">
        <is>
          <t xml:space="preserve">SOFTENER </t>
        </is>
      </c>
      <c r="I2" s="89" t="inlineStr">
        <is>
          <t>NEUTRLIZER</t>
        </is>
      </c>
      <c r="J2" s="139" t="inlineStr">
        <is>
          <t>Вес</t>
        </is>
      </c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0" t="n"/>
      <c r="U2" s="140" t="n"/>
      <c r="V2" s="140" t="n"/>
      <c r="W2" s="140" t="n"/>
      <c r="X2" s="140" t="n"/>
      <c r="Y2" s="140" t="n"/>
      <c r="Z2" s="140" t="n"/>
      <c r="AA2" s="140" t="n"/>
      <c r="AB2" s="140" t="n"/>
      <c r="AC2" s="140" t="n"/>
      <c r="AD2" s="140" t="n"/>
      <c r="AE2" s="140" t="n"/>
      <c r="AF2" s="140" t="n"/>
      <c r="AG2" s="141" t="n"/>
      <c r="AH2" s="142" t="inlineStr">
        <is>
          <t>Всего
Вес</t>
        </is>
      </c>
      <c r="AI2" s="106" t="inlineStr">
        <is>
          <t>Ваниш</t>
        </is>
      </c>
      <c r="AJ2" s="143" t="n"/>
      <c r="AK2" s="106" t="inlineStr">
        <is>
          <t>Ленор</t>
        </is>
      </c>
      <c r="AL2" s="143" t="n"/>
      <c r="AM2" s="106" t="inlineStr">
        <is>
          <t>Порошок</t>
        </is>
      </c>
      <c r="AN2" s="143" t="n"/>
    </row>
    <row r="3">
      <c r="A3" s="144" t="n"/>
      <c r="B3" s="145" t="n"/>
      <c r="C3" s="145" t="n"/>
      <c r="D3" s="145" t="n"/>
      <c r="E3" s="145" t="n"/>
      <c r="F3" s="145" t="n"/>
      <c r="G3" s="145" t="n"/>
      <c r="H3" s="145" t="n"/>
      <c r="I3" s="146" t="n"/>
      <c r="J3" s="147" t="n">
        <v>1</v>
      </c>
      <c r="K3" s="148" t="n"/>
      <c r="L3" s="147" t="n">
        <v>2</v>
      </c>
      <c r="M3" s="148" t="n"/>
      <c r="N3" s="147" t="n">
        <v>3</v>
      </c>
      <c r="O3" s="148" t="n"/>
      <c r="P3" s="147" t="n">
        <v>4</v>
      </c>
      <c r="Q3" s="148" t="n"/>
      <c r="R3" s="147" t="n">
        <v>5</v>
      </c>
      <c r="S3" s="148" t="n"/>
      <c r="T3" s="147" t="n">
        <v>6</v>
      </c>
      <c r="U3" s="148" t="n"/>
      <c r="V3" s="147" t="n">
        <v>7</v>
      </c>
      <c r="W3" s="148" t="n"/>
      <c r="X3" s="147" t="n">
        <v>8</v>
      </c>
      <c r="Y3" s="148" t="n"/>
      <c r="Z3" s="147" t="n">
        <v>9</v>
      </c>
      <c r="AA3" s="148" t="n"/>
      <c r="AB3" s="147" t="n">
        <v>10</v>
      </c>
      <c r="AC3" s="148" t="n"/>
      <c r="AD3" s="147" t="n">
        <v>11</v>
      </c>
      <c r="AE3" s="148" t="n"/>
      <c r="AF3" s="104" t="n">
        <v>12</v>
      </c>
      <c r="AG3" s="138" t="n"/>
      <c r="AH3" s="149" t="n"/>
      <c r="AI3" s="150" t="n"/>
      <c r="AJ3" s="25" t="n"/>
      <c r="AK3" s="150" t="n"/>
      <c r="AL3" s="25" t="n"/>
      <c r="AM3" s="150" t="n"/>
      <c r="AN3" s="25" t="n"/>
    </row>
    <row r="4" ht="15.75" customHeight="1" thickBot="1">
      <c r="A4" s="151" t="n"/>
      <c r="B4" s="152" t="n"/>
      <c r="C4" s="152" t="n"/>
      <c r="D4" s="152" t="n"/>
      <c r="E4" s="152" t="n"/>
      <c r="F4" s="152" t="n"/>
      <c r="G4" s="152" t="n"/>
      <c r="H4" s="152" t="n"/>
      <c r="I4" s="153" t="n"/>
      <c r="J4" s="9" t="inlineStr">
        <is>
          <t>день</t>
        </is>
      </c>
      <c r="K4" s="4" t="inlineStr">
        <is>
          <t>ночь</t>
        </is>
      </c>
      <c r="L4" s="9" t="inlineStr">
        <is>
          <t>день</t>
        </is>
      </c>
      <c r="M4" s="4" t="inlineStr">
        <is>
          <t>ночь</t>
        </is>
      </c>
      <c r="N4" s="9" t="inlineStr">
        <is>
          <t>день</t>
        </is>
      </c>
      <c r="O4" s="4" t="inlineStr">
        <is>
          <t>ночь</t>
        </is>
      </c>
      <c r="P4" s="9" t="inlineStr">
        <is>
          <t>день</t>
        </is>
      </c>
      <c r="Q4" s="4" t="inlineStr">
        <is>
          <t>ночь</t>
        </is>
      </c>
      <c r="R4" s="9" t="inlineStr">
        <is>
          <t>день</t>
        </is>
      </c>
      <c r="S4" s="4" t="inlineStr">
        <is>
          <t>ночь</t>
        </is>
      </c>
      <c r="T4" s="9" t="inlineStr">
        <is>
          <t>день</t>
        </is>
      </c>
      <c r="U4" s="4" t="inlineStr">
        <is>
          <t>ночь</t>
        </is>
      </c>
      <c r="V4" s="9" t="inlineStr">
        <is>
          <t>день</t>
        </is>
      </c>
      <c r="W4" s="4" t="inlineStr">
        <is>
          <t>ночь</t>
        </is>
      </c>
      <c r="X4" s="9" t="inlineStr">
        <is>
          <t>день</t>
        </is>
      </c>
      <c r="Y4" s="4" t="inlineStr">
        <is>
          <t>ночь</t>
        </is>
      </c>
      <c r="Z4" s="9" t="inlineStr">
        <is>
          <t>день</t>
        </is>
      </c>
      <c r="AA4" s="4" t="inlineStr">
        <is>
          <t>ночь</t>
        </is>
      </c>
      <c r="AB4" s="9" t="inlineStr">
        <is>
          <t>день</t>
        </is>
      </c>
      <c r="AC4" s="4" t="inlineStr">
        <is>
          <t>ночь</t>
        </is>
      </c>
      <c r="AD4" s="9" t="inlineStr">
        <is>
          <t>день</t>
        </is>
      </c>
      <c r="AE4" s="4" t="inlineStr">
        <is>
          <t>ночь</t>
        </is>
      </c>
      <c r="AF4" s="9" t="inlineStr">
        <is>
          <t>день</t>
        </is>
      </c>
      <c r="AG4" s="26" t="inlineStr">
        <is>
          <t>ночь</t>
        </is>
      </c>
      <c r="AH4" s="154" t="n"/>
      <c r="AI4" s="9" t="inlineStr">
        <is>
          <t>Кол-во</t>
        </is>
      </c>
      <c r="AJ4" s="4" t="inlineStr">
        <is>
          <t>Общее</t>
        </is>
      </c>
      <c r="AK4" s="9" t="inlineStr">
        <is>
          <t>Кол-во</t>
        </is>
      </c>
      <c r="AL4" s="4" t="inlineStr">
        <is>
          <t>Общее</t>
        </is>
      </c>
      <c r="AM4" s="9" t="inlineStr">
        <is>
          <t>Кол-во</t>
        </is>
      </c>
      <c r="AN4" s="4" t="inlineStr">
        <is>
          <t>Общее</t>
        </is>
      </c>
    </row>
    <row r="5" ht="15" customHeight="1">
      <c r="A5" s="98" t="n"/>
      <c r="B5" s="155" t="inlineStr">
        <is>
          <t>Постель 
белая</t>
        </is>
      </c>
      <c r="C5" s="156">
        <f>COUNT(J5:AG9)</f>
        <v/>
      </c>
      <c r="D5" s="156">
        <f>C5*57</f>
        <v/>
      </c>
      <c r="E5" s="156">
        <f>C5*55*3</f>
        <v/>
      </c>
      <c r="F5" s="156">
        <f>C5*55*8</f>
        <v/>
      </c>
      <c r="G5" s="156">
        <f>C5*55*6</f>
        <v/>
      </c>
      <c r="H5" s="156">
        <f>C5*55*4</f>
        <v/>
      </c>
      <c r="I5" s="157">
        <f>C5*55*1</f>
        <v/>
      </c>
      <c r="J5" s="10" t="n"/>
      <c r="K5" s="11" t="n"/>
      <c r="L5" s="10" t="n"/>
      <c r="M5" s="11" t="n"/>
      <c r="N5" s="10" t="n"/>
      <c r="O5" s="11" t="n"/>
      <c r="P5" s="10" t="n"/>
      <c r="Q5" s="11" t="n"/>
      <c r="R5" s="10" t="n"/>
      <c r="S5" s="11" t="n"/>
      <c r="T5" s="10" t="n"/>
      <c r="U5" s="11" t="n"/>
      <c r="V5" s="10" t="n"/>
      <c r="W5" s="11" t="n"/>
      <c r="X5" s="10" t="n"/>
      <c r="Y5" s="11" t="n"/>
      <c r="Z5" s="10" t="n"/>
      <c r="AA5" s="11" t="n"/>
      <c r="AB5" s="10" t="n"/>
      <c r="AC5" s="11" t="n"/>
      <c r="AD5" s="10" t="n"/>
      <c r="AE5" s="11" t="n"/>
      <c r="AF5" s="10" t="n"/>
      <c r="AG5" s="11" t="n"/>
      <c r="AH5" s="158">
        <f>SUM(J5:AG9)</f>
        <v/>
      </c>
      <c r="AI5" s="93" t="n"/>
      <c r="AJ5" s="77">
        <f>AI5*5</f>
        <v/>
      </c>
      <c r="AK5" s="93" t="n"/>
      <c r="AL5" s="77">
        <f>AK5*50</f>
        <v/>
      </c>
      <c r="AM5" s="93" t="n"/>
      <c r="AN5" s="77">
        <f>AM5*175</f>
        <v/>
      </c>
    </row>
    <row r="6">
      <c r="A6" s="159" t="n"/>
      <c r="B6" s="144" t="n"/>
      <c r="C6" s="145" t="n"/>
      <c r="D6" s="145" t="n"/>
      <c r="E6" s="145" t="n"/>
      <c r="F6" s="145" t="n"/>
      <c r="G6" s="145" t="n"/>
      <c r="H6" s="145" t="n"/>
      <c r="I6" s="146" t="n"/>
      <c r="J6" s="12" t="n"/>
      <c r="K6" s="13" t="n"/>
      <c r="L6" s="12" t="n"/>
      <c r="M6" s="13" t="n"/>
      <c r="N6" s="12" t="n"/>
      <c r="O6" s="13" t="n"/>
      <c r="P6" s="12" t="n"/>
      <c r="Q6" s="13" t="n"/>
      <c r="R6" s="12" t="n"/>
      <c r="S6" s="13" t="n"/>
      <c r="T6" s="12" t="n"/>
      <c r="U6" s="13" t="n"/>
      <c r="V6" s="12" t="n"/>
      <c r="W6" s="13" t="n"/>
      <c r="X6" s="12" t="n"/>
      <c r="Y6" s="13" t="n"/>
      <c r="Z6" s="12" t="n"/>
      <c r="AA6" s="13" t="n"/>
      <c r="AB6" s="12" t="n"/>
      <c r="AC6" s="13" t="n"/>
      <c r="AD6" s="12" t="n"/>
      <c r="AE6" s="13" t="n"/>
      <c r="AF6" s="12" t="n"/>
      <c r="AG6" s="13" t="n"/>
      <c r="AI6" s="165" t="n"/>
      <c r="AJ6" s="161" t="n"/>
      <c r="AK6" s="165" t="n"/>
      <c r="AL6" s="161" t="n"/>
      <c r="AM6" s="165" t="n"/>
      <c r="AN6" s="161" t="n"/>
    </row>
    <row r="7">
      <c r="A7" s="159" t="n"/>
      <c r="B7" s="144" t="n"/>
      <c r="C7" s="145" t="n"/>
      <c r="D7" s="145" t="n"/>
      <c r="E7" s="145" t="n"/>
      <c r="F7" s="145" t="n"/>
      <c r="G7" s="145" t="n"/>
      <c r="H7" s="145" t="n"/>
      <c r="I7" s="146" t="n"/>
      <c r="J7" s="12" t="n"/>
      <c r="K7" s="13" t="n"/>
      <c r="L7" s="12" t="n"/>
      <c r="M7" s="13" t="n"/>
      <c r="N7" s="12" t="n"/>
      <c r="O7" s="13" t="n"/>
      <c r="P7" s="12" t="n"/>
      <c r="Q7" s="13" t="n"/>
      <c r="R7" s="12" t="n"/>
      <c r="S7" s="13" t="n"/>
      <c r="T7" s="12" t="n"/>
      <c r="U7" s="13" t="n"/>
      <c r="V7" s="12" t="n"/>
      <c r="W7" s="13" t="n"/>
      <c r="X7" s="12" t="n"/>
      <c r="Y7" s="13" t="n"/>
      <c r="Z7" s="12" t="n"/>
      <c r="AA7" s="13" t="n"/>
      <c r="AB7" s="12" t="n"/>
      <c r="AC7" s="13" t="n"/>
      <c r="AD7" s="12" t="n"/>
      <c r="AE7" s="13" t="n"/>
      <c r="AF7" s="12" t="n"/>
      <c r="AG7" s="13" t="n"/>
      <c r="AI7" s="165" t="n"/>
      <c r="AJ7" s="161" t="n"/>
      <c r="AK7" s="165" t="n"/>
      <c r="AL7" s="161" t="n"/>
      <c r="AM7" s="165" t="n"/>
      <c r="AN7" s="161" t="n"/>
    </row>
    <row r="8">
      <c r="A8" s="159" t="n"/>
      <c r="B8" s="144" t="n"/>
      <c r="C8" s="145" t="n"/>
      <c r="D8" s="145" t="n"/>
      <c r="E8" s="145" t="n"/>
      <c r="F8" s="145" t="n"/>
      <c r="G8" s="145" t="n"/>
      <c r="H8" s="145" t="n"/>
      <c r="I8" s="146" t="n"/>
      <c r="J8" s="12" t="n"/>
      <c r="K8" s="13" t="n"/>
      <c r="L8" s="12" t="n"/>
      <c r="M8" s="13" t="n"/>
      <c r="N8" s="12" t="n"/>
      <c r="O8" s="13" t="n"/>
      <c r="P8" s="12" t="n"/>
      <c r="Q8" s="13" t="n"/>
      <c r="R8" s="12" t="n"/>
      <c r="S8" s="13" t="n"/>
      <c r="T8" s="12" t="n"/>
      <c r="U8" s="13" t="n"/>
      <c r="V8" s="12" t="n"/>
      <c r="W8" s="13" t="n"/>
      <c r="X8" s="12" t="n"/>
      <c r="Y8" s="13" t="n"/>
      <c r="Z8" s="12" t="n"/>
      <c r="AA8" s="13" t="n"/>
      <c r="AB8" s="12" t="n"/>
      <c r="AC8" s="13" t="n"/>
      <c r="AD8" s="12" t="n"/>
      <c r="AE8" s="13" t="n"/>
      <c r="AF8" s="12" t="n"/>
      <c r="AG8" s="13" t="n"/>
      <c r="AI8" s="165" t="n"/>
      <c r="AJ8" s="161" t="n"/>
      <c r="AK8" s="165" t="n"/>
      <c r="AL8" s="161" t="n"/>
      <c r="AM8" s="165" t="n"/>
      <c r="AN8" s="161" t="n"/>
    </row>
    <row r="9" ht="15.75" customHeight="1" thickBot="1">
      <c r="A9" s="159" t="n"/>
      <c r="B9" s="151" t="n"/>
      <c r="C9" s="152" t="n"/>
      <c r="D9" s="152" t="n"/>
      <c r="E9" s="152" t="n"/>
      <c r="F9" s="152" t="n"/>
      <c r="G9" s="152" t="n"/>
      <c r="H9" s="152" t="n"/>
      <c r="I9" s="153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  <c r="AG9" s="15" t="n"/>
      <c r="AH9" s="162" t="n"/>
      <c r="AI9" s="166" t="n"/>
      <c r="AJ9" s="164" t="n"/>
      <c r="AK9" s="166" t="n"/>
      <c r="AL9" s="164" t="n"/>
      <c r="AM9" s="166" t="n"/>
      <c r="AN9" s="164" t="n"/>
    </row>
    <row r="10" ht="15" customHeight="1">
      <c r="A10" s="159" t="n"/>
      <c r="B10" s="155" t="inlineStr">
        <is>
          <t>Махра
 белая</t>
        </is>
      </c>
      <c r="C10" s="156">
        <f>COUNT(J10:AG14)</f>
        <v/>
      </c>
      <c r="D10" s="156">
        <f>C10*51</f>
        <v/>
      </c>
      <c r="E10" s="156">
        <f>C10*55*3</f>
        <v/>
      </c>
      <c r="F10" s="156">
        <f>C10*55*8</f>
        <v/>
      </c>
      <c r="G10" s="156">
        <f>C10*55*6</f>
        <v/>
      </c>
      <c r="H10" s="156">
        <f>C10*55*5</f>
        <v/>
      </c>
      <c r="I10" s="157">
        <f>C10*55*1</f>
        <v/>
      </c>
      <c r="J10" s="10" t="n"/>
      <c r="K10" s="11" t="n"/>
      <c r="L10" s="10" t="n"/>
      <c r="M10" s="11" t="n"/>
      <c r="N10" s="10" t="n"/>
      <c r="O10" s="11" t="n"/>
      <c r="P10" s="10" t="n"/>
      <c r="Q10" s="11" t="n"/>
      <c r="R10" s="10" t="n"/>
      <c r="S10" s="11" t="n"/>
      <c r="T10" s="10" t="n"/>
      <c r="U10" s="11" t="n"/>
      <c r="V10" s="10" t="n"/>
      <c r="W10" s="11" t="n"/>
      <c r="X10" s="10" t="n"/>
      <c r="Y10" s="11" t="n"/>
      <c r="Z10" s="10" t="n"/>
      <c r="AA10" s="11" t="n"/>
      <c r="AB10" s="10" t="n"/>
      <c r="AC10" s="11" t="n"/>
      <c r="AD10" s="10" t="n"/>
      <c r="AE10" s="11" t="n"/>
      <c r="AF10" s="10" t="n"/>
      <c r="AG10" s="11" t="n"/>
      <c r="AH10" s="158">
        <f>SUM(J10:AG14)</f>
        <v/>
      </c>
      <c r="AI10" s="93" t="n"/>
      <c r="AJ10" s="77">
        <f>AI10*5</f>
        <v/>
      </c>
      <c r="AK10" s="93" t="n"/>
      <c r="AL10" s="77">
        <f>AK10*50</f>
        <v/>
      </c>
      <c r="AM10" s="93" t="n"/>
      <c r="AN10" s="77">
        <f>AM10*175</f>
        <v/>
      </c>
    </row>
    <row r="11">
      <c r="A11" s="159" t="n"/>
      <c r="B11" s="144" t="n"/>
      <c r="C11" s="145" t="n"/>
      <c r="D11" s="145" t="n"/>
      <c r="E11" s="145" t="n"/>
      <c r="F11" s="145" t="n"/>
      <c r="G11" s="145" t="n"/>
      <c r="H11" s="145" t="n"/>
      <c r="I11" s="146" t="n"/>
      <c r="J11" s="12" t="n"/>
      <c r="K11" s="13" t="n"/>
      <c r="L11" s="12" t="n"/>
      <c r="M11" s="13" t="n"/>
      <c r="N11" s="12" t="n"/>
      <c r="O11" s="13" t="n"/>
      <c r="P11" s="12" t="n"/>
      <c r="Q11" s="13" t="n"/>
      <c r="R11" s="12" t="n"/>
      <c r="S11" s="13" t="n"/>
      <c r="T11" s="12" t="n"/>
      <c r="U11" s="13" t="n"/>
      <c r="V11" s="12" t="n"/>
      <c r="W11" s="13" t="n"/>
      <c r="X11" s="12" t="n"/>
      <c r="Y11" s="13" t="n"/>
      <c r="Z11" s="12" t="n"/>
      <c r="AA11" s="13" t="n"/>
      <c r="AB11" s="12" t="n"/>
      <c r="AC11" s="13" t="n"/>
      <c r="AD11" s="12" t="n"/>
      <c r="AE11" s="13" t="n"/>
      <c r="AF11" s="12" t="n"/>
      <c r="AG11" s="13" t="n"/>
      <c r="AI11" s="165" t="n"/>
      <c r="AJ11" s="161" t="n"/>
      <c r="AK11" s="165" t="n"/>
      <c r="AL11" s="161" t="n"/>
      <c r="AM11" s="165" t="n"/>
      <c r="AN11" s="161" t="n"/>
    </row>
    <row r="12">
      <c r="A12" s="159" t="n"/>
      <c r="B12" s="144" t="n"/>
      <c r="C12" s="145" t="n"/>
      <c r="D12" s="145" t="n"/>
      <c r="E12" s="145" t="n"/>
      <c r="F12" s="145" t="n"/>
      <c r="G12" s="145" t="n"/>
      <c r="H12" s="145" t="n"/>
      <c r="I12" s="146" t="n"/>
      <c r="J12" s="12" t="n"/>
      <c r="K12" s="13" t="n"/>
      <c r="L12" s="12" t="n"/>
      <c r="M12" s="13" t="n"/>
      <c r="N12" s="12" t="n"/>
      <c r="O12" s="13" t="n"/>
      <c r="P12" s="12" t="n"/>
      <c r="Q12" s="13" t="n"/>
      <c r="R12" s="12" t="n"/>
      <c r="S12" s="13" t="n"/>
      <c r="T12" s="12" t="n"/>
      <c r="U12" s="13" t="n"/>
      <c r="V12" s="12" t="n"/>
      <c r="W12" s="13" t="n"/>
      <c r="X12" s="12" t="n"/>
      <c r="Y12" s="13" t="n"/>
      <c r="Z12" s="12" t="n"/>
      <c r="AA12" s="13" t="n"/>
      <c r="AB12" s="12" t="n"/>
      <c r="AC12" s="13" t="n"/>
      <c r="AD12" s="12" t="n"/>
      <c r="AE12" s="13" t="n"/>
      <c r="AF12" s="12" t="n"/>
      <c r="AG12" s="13" t="n"/>
      <c r="AI12" s="165" t="n"/>
      <c r="AJ12" s="161" t="n"/>
      <c r="AK12" s="165" t="n"/>
      <c r="AL12" s="161" t="n"/>
      <c r="AM12" s="165" t="n"/>
      <c r="AN12" s="161" t="n"/>
    </row>
    <row r="13">
      <c r="A13" s="159" t="n"/>
      <c r="B13" s="144" t="n"/>
      <c r="C13" s="145" t="n"/>
      <c r="D13" s="145" t="n"/>
      <c r="E13" s="145" t="n"/>
      <c r="F13" s="145" t="n"/>
      <c r="G13" s="145" t="n"/>
      <c r="H13" s="145" t="n"/>
      <c r="I13" s="146" t="n"/>
      <c r="J13" s="12" t="n"/>
      <c r="K13" s="13" t="n"/>
      <c r="L13" s="12" t="n"/>
      <c r="M13" s="13" t="n"/>
      <c r="N13" s="12" t="n"/>
      <c r="O13" s="13" t="n"/>
      <c r="P13" s="12" t="n"/>
      <c r="Q13" s="13" t="n"/>
      <c r="R13" s="12" t="n"/>
      <c r="S13" s="13" t="n"/>
      <c r="T13" s="12" t="n"/>
      <c r="U13" s="13" t="n"/>
      <c r="V13" s="12" t="n"/>
      <c r="W13" s="13" t="n"/>
      <c r="X13" s="12" t="n"/>
      <c r="Y13" s="13" t="n"/>
      <c r="Z13" s="12" t="n"/>
      <c r="AA13" s="13" t="n"/>
      <c r="AB13" s="12" t="n"/>
      <c r="AC13" s="13" t="n"/>
      <c r="AD13" s="12" t="n"/>
      <c r="AE13" s="13" t="n"/>
      <c r="AF13" s="12" t="n"/>
      <c r="AG13" s="13" t="n"/>
      <c r="AI13" s="165" t="n"/>
      <c r="AJ13" s="161" t="n"/>
      <c r="AK13" s="165" t="n"/>
      <c r="AL13" s="161" t="n"/>
      <c r="AM13" s="165" t="n"/>
      <c r="AN13" s="161" t="n"/>
    </row>
    <row r="14" ht="15.75" customHeight="1" thickBot="1">
      <c r="A14" s="159" t="n"/>
      <c r="B14" s="151" t="n"/>
      <c r="C14" s="152" t="n"/>
      <c r="D14" s="152" t="n"/>
      <c r="E14" s="152" t="n"/>
      <c r="F14" s="152" t="n"/>
      <c r="G14" s="152" t="n"/>
      <c r="H14" s="152" t="n"/>
      <c r="I14" s="153" t="n"/>
      <c r="J14" s="14" t="n"/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  <c r="AG14" s="15" t="n"/>
      <c r="AH14" s="162" t="n"/>
      <c r="AI14" s="166" t="n"/>
      <c r="AJ14" s="164" t="n"/>
      <c r="AK14" s="166" t="n"/>
      <c r="AL14" s="164" t="n"/>
      <c r="AM14" s="166" t="n"/>
      <c r="AN14" s="164" t="n"/>
    </row>
    <row r="15" ht="15" customHeight="1">
      <c r="A15" s="159" t="n"/>
      <c r="B15" s="155" t="inlineStr">
        <is>
          <t>Униформа белая</t>
        </is>
      </c>
      <c r="C15" s="156">
        <f>COUNT(J15:AG19)</f>
        <v/>
      </c>
      <c r="D15" s="156">
        <f>C15*55</f>
        <v/>
      </c>
      <c r="E15" s="156">
        <f>C15*55*3</f>
        <v/>
      </c>
      <c r="F15" s="156">
        <f>C15*55*8</f>
        <v/>
      </c>
      <c r="G15" s="156">
        <f>C15*55*5</f>
        <v/>
      </c>
      <c r="H15" s="156">
        <f>C15*55*3</f>
        <v/>
      </c>
      <c r="I15" s="157">
        <f>C15*55*1</f>
        <v/>
      </c>
      <c r="J15" s="10" t="n"/>
      <c r="K15" s="11" t="n"/>
      <c r="L15" s="10" t="n"/>
      <c r="M15" s="11" t="n"/>
      <c r="N15" s="10" t="n"/>
      <c r="O15" s="11" t="n"/>
      <c r="P15" s="10" t="n"/>
      <c r="Q15" s="11" t="n"/>
      <c r="R15" s="10" t="n"/>
      <c r="S15" s="11" t="n"/>
      <c r="T15" s="10" t="n"/>
      <c r="U15" s="11" t="n"/>
      <c r="V15" s="10" t="n"/>
      <c r="W15" s="11" t="n"/>
      <c r="X15" s="10" t="n"/>
      <c r="Y15" s="11" t="n"/>
      <c r="Z15" s="10" t="n"/>
      <c r="AA15" s="11" t="n"/>
      <c r="AB15" s="10" t="n"/>
      <c r="AC15" s="11" t="n"/>
      <c r="AD15" s="10" t="n"/>
      <c r="AE15" s="11" t="n"/>
      <c r="AF15" s="10" t="n"/>
      <c r="AG15" s="11" t="n"/>
      <c r="AH15" s="158">
        <f>SUM(J15:AG19)</f>
        <v/>
      </c>
      <c r="AI15" s="93" t="n"/>
      <c r="AJ15" s="77">
        <f>AI15*5</f>
        <v/>
      </c>
      <c r="AK15" s="93" t="n"/>
      <c r="AL15" s="77">
        <f>AK15*50</f>
        <v/>
      </c>
      <c r="AM15" s="93" t="n"/>
      <c r="AN15" s="77">
        <f>AM15*175</f>
        <v/>
      </c>
    </row>
    <row r="16">
      <c r="A16" s="159" t="n"/>
      <c r="B16" s="144" t="n"/>
      <c r="C16" s="145" t="n"/>
      <c r="D16" s="145" t="n"/>
      <c r="E16" s="145" t="n"/>
      <c r="F16" s="145" t="n"/>
      <c r="G16" s="145" t="n"/>
      <c r="H16" s="145" t="n"/>
      <c r="I16" s="146" t="n"/>
      <c r="J16" s="12" t="n"/>
      <c r="K16" s="13" t="n"/>
      <c r="L16" s="12" t="n"/>
      <c r="M16" s="13" t="n"/>
      <c r="N16" s="12" t="n"/>
      <c r="O16" s="13" t="n"/>
      <c r="P16" s="12" t="n"/>
      <c r="Q16" s="13" t="n"/>
      <c r="R16" s="12" t="n"/>
      <c r="S16" s="13" t="n"/>
      <c r="T16" s="12" t="n"/>
      <c r="U16" s="13" t="n"/>
      <c r="V16" s="12" t="n"/>
      <c r="W16" s="13" t="n"/>
      <c r="X16" s="12" t="n"/>
      <c r="Y16" s="13" t="n"/>
      <c r="Z16" s="12" t="n"/>
      <c r="AA16" s="13" t="n"/>
      <c r="AB16" s="12" t="n"/>
      <c r="AC16" s="13" t="n"/>
      <c r="AD16" s="12" t="n"/>
      <c r="AE16" s="13" t="n"/>
      <c r="AF16" s="12" t="n"/>
      <c r="AG16" s="13" t="n"/>
      <c r="AI16" s="165" t="n"/>
      <c r="AJ16" s="161" t="n"/>
      <c r="AK16" s="165" t="n"/>
      <c r="AL16" s="161" t="n"/>
      <c r="AM16" s="165" t="n"/>
      <c r="AN16" s="161" t="n"/>
    </row>
    <row r="17">
      <c r="A17" s="159" t="n"/>
      <c r="B17" s="144" t="n"/>
      <c r="C17" s="145" t="n"/>
      <c r="D17" s="145" t="n"/>
      <c r="E17" s="145" t="n"/>
      <c r="F17" s="145" t="n"/>
      <c r="G17" s="145" t="n"/>
      <c r="H17" s="145" t="n"/>
      <c r="I17" s="146" t="n"/>
      <c r="J17" s="12" t="n"/>
      <c r="K17" s="13" t="n"/>
      <c r="L17" s="12" t="n"/>
      <c r="M17" s="13" t="n"/>
      <c r="N17" s="12" t="n"/>
      <c r="O17" s="13" t="n"/>
      <c r="P17" s="12" t="n"/>
      <c r="Q17" s="13" t="n"/>
      <c r="R17" s="12" t="n"/>
      <c r="S17" s="13" t="n"/>
      <c r="T17" s="12" t="n"/>
      <c r="U17" s="13" t="n"/>
      <c r="V17" s="12" t="n"/>
      <c r="W17" s="13" t="n"/>
      <c r="X17" s="12" t="n"/>
      <c r="Y17" s="13" t="n"/>
      <c r="Z17" s="12" t="n"/>
      <c r="AA17" s="13" t="n"/>
      <c r="AB17" s="12" t="n"/>
      <c r="AC17" s="13" t="n"/>
      <c r="AD17" s="12" t="n"/>
      <c r="AE17" s="13" t="n"/>
      <c r="AF17" s="12" t="n"/>
      <c r="AG17" s="13" t="n"/>
      <c r="AI17" s="165" t="n"/>
      <c r="AJ17" s="161" t="n"/>
      <c r="AK17" s="165" t="n"/>
      <c r="AL17" s="161" t="n"/>
      <c r="AM17" s="165" t="n"/>
      <c r="AN17" s="161" t="n"/>
    </row>
    <row r="18">
      <c r="A18" s="159" t="n"/>
      <c r="B18" s="144" t="n"/>
      <c r="C18" s="145" t="n"/>
      <c r="D18" s="145" t="n"/>
      <c r="E18" s="145" t="n"/>
      <c r="F18" s="145" t="n"/>
      <c r="G18" s="145" t="n"/>
      <c r="H18" s="145" t="n"/>
      <c r="I18" s="146" t="n"/>
      <c r="J18" s="12" t="n"/>
      <c r="K18" s="13" t="n"/>
      <c r="L18" s="12" t="n"/>
      <c r="M18" s="13" t="n"/>
      <c r="N18" s="12" t="n"/>
      <c r="O18" s="13" t="n"/>
      <c r="P18" s="12" t="n"/>
      <c r="Q18" s="13" t="n"/>
      <c r="R18" s="12" t="n"/>
      <c r="S18" s="13" t="n"/>
      <c r="T18" s="12" t="n"/>
      <c r="U18" s="13" t="n"/>
      <c r="V18" s="12" t="n"/>
      <c r="W18" s="13" t="n"/>
      <c r="X18" s="12" t="n"/>
      <c r="Y18" s="13" t="n"/>
      <c r="Z18" s="12" t="n"/>
      <c r="AA18" s="13" t="n"/>
      <c r="AB18" s="12" t="n"/>
      <c r="AC18" s="13" t="n"/>
      <c r="AD18" s="12" t="n"/>
      <c r="AE18" s="13" t="n"/>
      <c r="AF18" s="12" t="n"/>
      <c r="AG18" s="13" t="n"/>
      <c r="AI18" s="165" t="n"/>
      <c r="AJ18" s="161" t="n"/>
      <c r="AK18" s="165" t="n"/>
      <c r="AL18" s="161" t="n"/>
      <c r="AM18" s="165" t="n"/>
      <c r="AN18" s="161" t="n"/>
    </row>
    <row r="19" ht="15.75" customHeight="1" thickBot="1">
      <c r="A19" s="159" t="n"/>
      <c r="B19" s="151" t="n"/>
      <c r="C19" s="152" t="n"/>
      <c r="D19" s="152" t="n"/>
      <c r="E19" s="152" t="n"/>
      <c r="F19" s="152" t="n"/>
      <c r="G19" s="152" t="n"/>
      <c r="H19" s="152" t="n"/>
      <c r="I19" s="153" t="n"/>
      <c r="J19" s="14" t="n"/>
      <c r="K19" s="15" t="n"/>
      <c r="L19" s="14" t="n"/>
      <c r="M19" s="15" t="n"/>
      <c r="N19" s="14" t="n"/>
      <c r="O19" s="15" t="n"/>
      <c r="P19" s="14" t="n"/>
      <c r="Q19" s="15" t="n"/>
      <c r="R19" s="14" t="n"/>
      <c r="S19" s="15" t="n"/>
      <c r="T19" s="14" t="n"/>
      <c r="U19" s="15" t="n"/>
      <c r="V19" s="14" t="n"/>
      <c r="W19" s="15" t="n"/>
      <c r="X19" s="14" t="n"/>
      <c r="Y19" s="15" t="n"/>
      <c r="Z19" s="14" t="n"/>
      <c r="AA19" s="15" t="n"/>
      <c r="AB19" s="14" t="n"/>
      <c r="AC19" s="15" t="n"/>
      <c r="AD19" s="14" t="n"/>
      <c r="AE19" s="15" t="n"/>
      <c r="AF19" s="14" t="n"/>
      <c r="AG19" s="15" t="n"/>
      <c r="AH19" s="162" t="n"/>
      <c r="AI19" s="166" t="n"/>
      <c r="AJ19" s="164" t="n"/>
      <c r="AK19" s="166" t="n"/>
      <c r="AL19" s="164" t="n"/>
      <c r="AM19" s="166" t="n"/>
      <c r="AN19" s="164" t="n"/>
    </row>
    <row r="20" ht="15" customHeight="1">
      <c r="A20" s="159" t="n"/>
      <c r="B20" s="155" t="inlineStr">
        <is>
          <t>Униформа темная</t>
        </is>
      </c>
      <c r="C20" s="156">
        <f>COUNT(J20:AG24)</f>
        <v/>
      </c>
      <c r="D20" s="156">
        <f>C20*45</f>
        <v/>
      </c>
      <c r="E20" s="156">
        <f>C20*55*2</f>
        <v/>
      </c>
      <c r="F20" s="156">
        <f>C20*55*6</f>
        <v/>
      </c>
      <c r="G20" s="156">
        <f>C20*55*0</f>
        <v/>
      </c>
      <c r="H20" s="156">
        <f>C20*55*3</f>
        <v/>
      </c>
      <c r="I20" s="157">
        <f>C20*55*1</f>
        <v/>
      </c>
      <c r="J20" s="10" t="n"/>
      <c r="K20" s="11" t="n"/>
      <c r="L20" s="10" t="n"/>
      <c r="M20" s="11" t="n"/>
      <c r="N20" s="10" t="n"/>
      <c r="O20" s="11" t="n"/>
      <c r="P20" s="10" t="n"/>
      <c r="Q20" s="11" t="n"/>
      <c r="R20" s="10" t="n"/>
      <c r="S20" s="11" t="n"/>
      <c r="T20" s="10" t="n"/>
      <c r="U20" s="11" t="n"/>
      <c r="V20" s="10" t="n"/>
      <c r="W20" s="11" t="n"/>
      <c r="X20" s="10" t="n"/>
      <c r="Y20" s="11" t="n"/>
      <c r="Z20" s="10" t="n"/>
      <c r="AA20" s="11" t="n"/>
      <c r="AB20" s="10" t="n"/>
      <c r="AC20" s="11" t="n"/>
      <c r="AD20" s="10" t="n"/>
      <c r="AE20" s="11" t="n"/>
      <c r="AF20" s="10" t="n"/>
      <c r="AG20" s="11" t="n"/>
      <c r="AH20" s="158">
        <f>SUM(J20:AG24)</f>
        <v/>
      </c>
      <c r="AI20" s="93" t="n"/>
      <c r="AJ20" s="77">
        <f>AI20*5</f>
        <v/>
      </c>
      <c r="AK20" s="93" t="n"/>
      <c r="AL20" s="77">
        <f>AK20*50</f>
        <v/>
      </c>
      <c r="AM20" s="93" t="n"/>
      <c r="AN20" s="77">
        <f>AM20*175</f>
        <v/>
      </c>
    </row>
    <row r="21">
      <c r="A21" s="159" t="n"/>
      <c r="B21" s="144" t="n"/>
      <c r="C21" s="145" t="n"/>
      <c r="D21" s="145" t="n"/>
      <c r="E21" s="145" t="n"/>
      <c r="F21" s="145" t="n"/>
      <c r="G21" s="145" t="n"/>
      <c r="H21" s="145" t="n"/>
      <c r="I21" s="146" t="n"/>
      <c r="J21" s="12" t="n"/>
      <c r="K21" s="13" t="n"/>
      <c r="L21" s="12" t="n"/>
      <c r="M21" s="13" t="n"/>
      <c r="N21" s="12" t="n"/>
      <c r="O21" s="13" t="n"/>
      <c r="P21" s="12" t="n"/>
      <c r="Q21" s="13" t="n"/>
      <c r="R21" s="12" t="n"/>
      <c r="S21" s="13" t="n"/>
      <c r="T21" s="12" t="n"/>
      <c r="U21" s="13" t="n"/>
      <c r="V21" s="12" t="n"/>
      <c r="W21" s="13" t="n"/>
      <c r="X21" s="12" t="n"/>
      <c r="Y21" s="13" t="n"/>
      <c r="Z21" s="12" t="n"/>
      <c r="AA21" s="13" t="n"/>
      <c r="AB21" s="12" t="n"/>
      <c r="AC21" s="13" t="n"/>
      <c r="AD21" s="12" t="n"/>
      <c r="AE21" s="13" t="n"/>
      <c r="AF21" s="12" t="n"/>
      <c r="AG21" s="13" t="n"/>
      <c r="AI21" s="165" t="n"/>
      <c r="AJ21" s="161" t="n"/>
      <c r="AK21" s="165" t="n"/>
      <c r="AL21" s="161" t="n"/>
      <c r="AM21" s="165" t="n"/>
      <c r="AN21" s="161" t="n"/>
    </row>
    <row r="22">
      <c r="A22" s="159" t="n"/>
      <c r="B22" s="144" t="n"/>
      <c r="C22" s="145" t="n"/>
      <c r="D22" s="145" t="n"/>
      <c r="E22" s="145" t="n"/>
      <c r="F22" s="145" t="n"/>
      <c r="G22" s="145" t="n"/>
      <c r="H22" s="145" t="n"/>
      <c r="I22" s="146" t="n"/>
      <c r="J22" s="12" t="n"/>
      <c r="K22" s="13" t="n"/>
      <c r="L22" s="12" t="n"/>
      <c r="M22" s="13" t="n"/>
      <c r="N22" s="12" t="n"/>
      <c r="O22" s="13" t="n"/>
      <c r="P22" s="12" t="n"/>
      <c r="Q22" s="13" t="n"/>
      <c r="R22" s="12" t="n"/>
      <c r="S22" s="13" t="n"/>
      <c r="T22" s="12" t="n"/>
      <c r="U22" s="13" t="n"/>
      <c r="V22" s="12" t="n"/>
      <c r="W22" s="13" t="n"/>
      <c r="X22" s="12" t="n"/>
      <c r="Y22" s="13" t="n"/>
      <c r="Z22" s="12" t="n"/>
      <c r="AA22" s="13" t="n"/>
      <c r="AB22" s="12" t="n"/>
      <c r="AC22" s="13" t="n"/>
      <c r="AD22" s="12" t="n"/>
      <c r="AE22" s="13" t="n"/>
      <c r="AF22" s="12" t="n"/>
      <c r="AG22" s="13" t="n"/>
      <c r="AI22" s="165" t="n"/>
      <c r="AJ22" s="161" t="n"/>
      <c r="AK22" s="165" t="n"/>
      <c r="AL22" s="161" t="n"/>
      <c r="AM22" s="165" t="n"/>
      <c r="AN22" s="161" t="n"/>
    </row>
    <row r="23">
      <c r="A23" s="159" t="n"/>
      <c r="B23" s="144" t="n"/>
      <c r="C23" s="145" t="n"/>
      <c r="D23" s="145" t="n"/>
      <c r="E23" s="145" t="n"/>
      <c r="F23" s="145" t="n"/>
      <c r="G23" s="145" t="n"/>
      <c r="H23" s="145" t="n"/>
      <c r="I23" s="146" t="n"/>
      <c r="J23" s="12" t="n"/>
      <c r="K23" s="13" t="n"/>
      <c r="L23" s="12" t="n"/>
      <c r="M23" s="13" t="n"/>
      <c r="N23" s="12" t="n"/>
      <c r="O23" s="13" t="n"/>
      <c r="P23" s="12" t="n"/>
      <c r="Q23" s="13" t="n"/>
      <c r="R23" s="12" t="n"/>
      <c r="S23" s="13" t="n"/>
      <c r="T23" s="12" t="n"/>
      <c r="U23" s="13" t="n"/>
      <c r="V23" s="12" t="n"/>
      <c r="W23" s="13" t="n"/>
      <c r="X23" s="12" t="n"/>
      <c r="Y23" s="13" t="n"/>
      <c r="Z23" s="12" t="n"/>
      <c r="AA23" s="13" t="n"/>
      <c r="AB23" s="12" t="n"/>
      <c r="AC23" s="13" t="n"/>
      <c r="AD23" s="12" t="n"/>
      <c r="AE23" s="13" t="n"/>
      <c r="AF23" s="12" t="n"/>
      <c r="AG23" s="13" t="n"/>
      <c r="AI23" s="165" t="n"/>
      <c r="AJ23" s="161" t="n"/>
      <c r="AK23" s="165" t="n"/>
      <c r="AL23" s="161" t="n"/>
      <c r="AM23" s="165" t="n"/>
      <c r="AN23" s="161" t="n"/>
    </row>
    <row r="24" ht="15.75" customHeight="1" thickBot="1">
      <c r="A24" s="159" t="n"/>
      <c r="B24" s="151" t="n"/>
      <c r="C24" s="152" t="n"/>
      <c r="D24" s="152" t="n"/>
      <c r="E24" s="152" t="n"/>
      <c r="F24" s="152" t="n"/>
      <c r="G24" s="152" t="n"/>
      <c r="H24" s="152" t="n"/>
      <c r="I24" s="153" t="n"/>
      <c r="J24" s="14" t="n"/>
      <c r="K24" s="15" t="n"/>
      <c r="L24" s="14" t="n"/>
      <c r="M24" s="15" t="n"/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  <c r="AG24" s="15" t="n"/>
      <c r="AH24" s="162" t="n"/>
      <c r="AI24" s="166" t="n"/>
      <c r="AJ24" s="164" t="n"/>
      <c r="AK24" s="166" t="n"/>
      <c r="AL24" s="164" t="n"/>
      <c r="AM24" s="166" t="n"/>
      <c r="AN24" s="164" t="n"/>
    </row>
    <row r="25">
      <c r="A25" s="159" t="n"/>
      <c r="B25" s="155" t="inlineStr">
        <is>
          <t>Синтетика</t>
        </is>
      </c>
      <c r="C25" s="156">
        <f>COUNT(J25:AG29)</f>
        <v/>
      </c>
      <c r="D25" s="156">
        <f>C25*38</f>
        <v/>
      </c>
      <c r="E25" s="156">
        <f>C25*55*3</f>
        <v/>
      </c>
      <c r="F25" s="156">
        <f>C25*55*5</f>
        <v/>
      </c>
      <c r="G25" s="156">
        <f>C25*55*0</f>
        <v/>
      </c>
      <c r="H25" s="156">
        <f>C25*55*3</f>
        <v/>
      </c>
      <c r="I25" s="157">
        <f>C25*55*1</f>
        <v/>
      </c>
      <c r="J25" s="10" t="n"/>
      <c r="K25" s="11" t="n"/>
      <c r="L25" s="10" t="n"/>
      <c r="M25" s="11" t="n"/>
      <c r="N25" s="10" t="n"/>
      <c r="O25" s="11" t="n"/>
      <c r="P25" s="10" t="n"/>
      <c r="Q25" s="11" t="n"/>
      <c r="R25" s="10" t="n"/>
      <c r="S25" s="11" t="n"/>
      <c r="T25" s="10" t="n"/>
      <c r="U25" s="11" t="n"/>
      <c r="V25" s="10" t="n"/>
      <c r="W25" s="11" t="n"/>
      <c r="X25" s="10" t="n"/>
      <c r="Y25" s="11" t="n"/>
      <c r="Z25" s="10" t="n"/>
      <c r="AA25" s="11" t="n"/>
      <c r="AB25" s="10" t="n"/>
      <c r="AC25" s="11" t="n"/>
      <c r="AD25" s="10" t="n"/>
      <c r="AE25" s="11" t="n"/>
      <c r="AF25" s="10" t="n"/>
      <c r="AG25" s="11" t="n"/>
      <c r="AH25" s="158">
        <f>SUM(J25:AG29)</f>
        <v/>
      </c>
      <c r="AI25" s="93" t="n"/>
      <c r="AJ25" s="77">
        <f>AI25*5</f>
        <v/>
      </c>
      <c r="AK25" s="93" t="n"/>
      <c r="AL25" s="77">
        <f>AK25*50</f>
        <v/>
      </c>
      <c r="AM25" s="93" t="n"/>
      <c r="AN25" s="77">
        <f>AM25*175</f>
        <v/>
      </c>
    </row>
    <row r="26">
      <c r="A26" s="159" t="n"/>
      <c r="B26" s="144" t="n"/>
      <c r="C26" s="145" t="n"/>
      <c r="D26" s="145" t="n"/>
      <c r="E26" s="145" t="n"/>
      <c r="F26" s="145" t="n"/>
      <c r="G26" s="145" t="n"/>
      <c r="H26" s="145" t="n"/>
      <c r="I26" s="146" t="n"/>
      <c r="J26" s="12" t="n"/>
      <c r="K26" s="13" t="n"/>
      <c r="L26" s="12" t="n"/>
      <c r="M26" s="13" t="n"/>
      <c r="N26" s="12" t="n"/>
      <c r="O26" s="13" t="n"/>
      <c r="P26" s="12" t="n"/>
      <c r="Q26" s="13" t="n"/>
      <c r="R26" s="12" t="n"/>
      <c r="S26" s="13" t="n"/>
      <c r="T26" s="12" t="n"/>
      <c r="U26" s="13" t="n"/>
      <c r="V26" s="12" t="n"/>
      <c r="W26" s="13" t="n"/>
      <c r="X26" s="12" t="n"/>
      <c r="Y26" s="13" t="n"/>
      <c r="Z26" s="12" t="n"/>
      <c r="AA26" s="13" t="n"/>
      <c r="AB26" s="12" t="n"/>
      <c r="AC26" s="13" t="n"/>
      <c r="AD26" s="12" t="n"/>
      <c r="AE26" s="13" t="n"/>
      <c r="AF26" s="12" t="n"/>
      <c r="AG26" s="13" t="n"/>
      <c r="AI26" s="165" t="n"/>
      <c r="AJ26" s="161" t="n"/>
      <c r="AK26" s="165" t="n"/>
      <c r="AL26" s="161" t="n"/>
      <c r="AM26" s="165" t="n"/>
      <c r="AN26" s="161" t="n"/>
    </row>
    <row r="27">
      <c r="A27" s="159" t="n"/>
      <c r="B27" s="144" t="n"/>
      <c r="C27" s="145" t="n"/>
      <c r="D27" s="145" t="n"/>
      <c r="E27" s="145" t="n"/>
      <c r="F27" s="145" t="n"/>
      <c r="G27" s="145" t="n"/>
      <c r="H27" s="145" t="n"/>
      <c r="I27" s="146" t="n"/>
      <c r="J27" s="12" t="n"/>
      <c r="K27" s="13" t="n"/>
      <c r="L27" s="12" t="n"/>
      <c r="M27" s="13" t="n"/>
      <c r="N27" s="12" t="n"/>
      <c r="O27" s="13" t="n"/>
      <c r="P27" s="12" t="n"/>
      <c r="Q27" s="13" t="n"/>
      <c r="R27" s="12" t="n"/>
      <c r="S27" s="13" t="n"/>
      <c r="T27" s="12" t="n"/>
      <c r="U27" s="13" t="n"/>
      <c r="V27" s="12" t="n"/>
      <c r="W27" s="13" t="n"/>
      <c r="X27" s="12" t="n"/>
      <c r="Y27" s="13" t="n"/>
      <c r="Z27" s="12" t="n"/>
      <c r="AA27" s="13" t="n"/>
      <c r="AB27" s="12" t="n"/>
      <c r="AC27" s="13" t="n"/>
      <c r="AD27" s="12" t="n"/>
      <c r="AE27" s="13" t="n"/>
      <c r="AF27" s="12" t="n"/>
      <c r="AG27" s="13" t="n"/>
      <c r="AI27" s="165" t="n"/>
      <c r="AJ27" s="161" t="n"/>
      <c r="AK27" s="165" t="n"/>
      <c r="AL27" s="161" t="n"/>
      <c r="AM27" s="165" t="n"/>
      <c r="AN27" s="161" t="n"/>
    </row>
    <row r="28">
      <c r="A28" s="159" t="n"/>
      <c r="B28" s="144" t="n"/>
      <c r="C28" s="145" t="n"/>
      <c r="D28" s="145" t="n"/>
      <c r="E28" s="145" t="n"/>
      <c r="F28" s="145" t="n"/>
      <c r="G28" s="145" t="n"/>
      <c r="H28" s="145" t="n"/>
      <c r="I28" s="146" t="n"/>
      <c r="J28" s="12" t="n"/>
      <c r="K28" s="13" t="n"/>
      <c r="L28" s="12" t="n"/>
      <c r="M28" s="13" t="n"/>
      <c r="N28" s="12" t="n"/>
      <c r="O28" s="13" t="n"/>
      <c r="P28" s="12" t="n"/>
      <c r="Q28" s="13" t="n"/>
      <c r="R28" s="12" t="n"/>
      <c r="S28" s="13" t="n"/>
      <c r="T28" s="12" t="n"/>
      <c r="U28" s="13" t="n"/>
      <c r="V28" s="12" t="n"/>
      <c r="W28" s="13" t="n"/>
      <c r="X28" s="12" t="n"/>
      <c r="Y28" s="13" t="n"/>
      <c r="Z28" s="12" t="n"/>
      <c r="AA28" s="13" t="n"/>
      <c r="AB28" s="12" t="n"/>
      <c r="AC28" s="13" t="n"/>
      <c r="AD28" s="12" t="n"/>
      <c r="AE28" s="13" t="n"/>
      <c r="AF28" s="12" t="n"/>
      <c r="AG28" s="13" t="n"/>
      <c r="AI28" s="165" t="n"/>
      <c r="AJ28" s="161" t="n"/>
      <c r="AK28" s="165" t="n"/>
      <c r="AL28" s="161" t="n"/>
      <c r="AM28" s="165" t="n"/>
      <c r="AN28" s="161" t="n"/>
    </row>
    <row r="29" ht="15.75" customHeight="1" thickBot="1">
      <c r="A29" s="159" t="n"/>
      <c r="B29" s="151" t="n"/>
      <c r="C29" s="152" t="n"/>
      <c r="D29" s="152" t="n"/>
      <c r="E29" s="152" t="n"/>
      <c r="F29" s="152" t="n"/>
      <c r="G29" s="152" t="n"/>
      <c r="H29" s="152" t="n"/>
      <c r="I29" s="153" t="n"/>
      <c r="J29" s="14" t="n"/>
      <c r="K29" s="15" t="n"/>
      <c r="L29" s="14" t="n"/>
      <c r="M29" s="15" t="n"/>
      <c r="N29" s="14" t="n"/>
      <c r="O29" s="15" t="n"/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  <c r="AG29" s="15" t="n"/>
      <c r="AH29" s="162" t="n"/>
      <c r="AI29" s="166" t="n"/>
      <c r="AJ29" s="164" t="n"/>
      <c r="AK29" s="166" t="n"/>
      <c r="AL29" s="164" t="n"/>
      <c r="AM29" s="166" t="n"/>
      <c r="AN29" s="164" t="n"/>
    </row>
    <row r="30" ht="15" customHeight="1">
      <c r="A30" s="159" t="n"/>
      <c r="B30" s="155" t="inlineStr">
        <is>
          <t>Деликатная</t>
        </is>
      </c>
      <c r="C30" s="156">
        <f>COUNT(J30:AG34)</f>
        <v/>
      </c>
      <c r="D30" s="156">
        <f>C30*50</f>
        <v/>
      </c>
      <c r="E30" s="156">
        <f>C30*55*2</f>
        <v/>
      </c>
      <c r="F30" s="156">
        <f>C30*55*4</f>
        <v/>
      </c>
      <c r="G30" s="156">
        <f>C30*55*0</f>
        <v/>
      </c>
      <c r="H30" s="156">
        <f>C30*55*3</f>
        <v/>
      </c>
      <c r="I30" s="157">
        <f>C30*55*1</f>
        <v/>
      </c>
      <c r="J30" s="10" t="n"/>
      <c r="K30" s="11" t="n"/>
      <c r="L30" s="10" t="n"/>
      <c r="M30" s="11" t="n"/>
      <c r="N30" s="10" t="n"/>
      <c r="O30" s="11" t="n"/>
      <c r="P30" s="10" t="n"/>
      <c r="Q30" s="11" t="n"/>
      <c r="R30" s="10" t="n"/>
      <c r="S30" s="11" t="n"/>
      <c r="T30" s="10" t="n"/>
      <c r="U30" s="11" t="n"/>
      <c r="V30" s="10" t="n"/>
      <c r="W30" s="11" t="n"/>
      <c r="X30" s="10" t="n"/>
      <c r="Y30" s="11" t="n"/>
      <c r="Z30" s="10" t="n"/>
      <c r="AA30" s="11" t="n"/>
      <c r="AB30" s="10" t="n"/>
      <c r="AC30" s="11" t="n"/>
      <c r="AD30" s="10" t="n"/>
      <c r="AE30" s="11" t="n"/>
      <c r="AF30" s="10" t="n"/>
      <c r="AG30" s="11" t="n"/>
      <c r="AH30" s="158">
        <f>SUM(J30:AG34)</f>
        <v/>
      </c>
      <c r="AI30" s="93" t="n"/>
      <c r="AJ30" s="77">
        <f>AI30*5</f>
        <v/>
      </c>
      <c r="AK30" s="93" t="n"/>
      <c r="AL30" s="77">
        <f>AK30*50</f>
        <v/>
      </c>
      <c r="AM30" s="93" t="n"/>
      <c r="AN30" s="77">
        <f>AM30*175</f>
        <v/>
      </c>
    </row>
    <row r="31">
      <c r="A31" s="159" t="n"/>
      <c r="B31" s="144" t="n"/>
      <c r="C31" s="145" t="n"/>
      <c r="D31" s="145" t="n"/>
      <c r="E31" s="145" t="n"/>
      <c r="F31" s="145" t="n"/>
      <c r="G31" s="145" t="n"/>
      <c r="H31" s="145" t="n"/>
      <c r="I31" s="146" t="n"/>
      <c r="J31" s="12" t="n"/>
      <c r="K31" s="13" t="n"/>
      <c r="L31" s="12" t="n"/>
      <c r="M31" s="13" t="n"/>
      <c r="N31" s="12" t="n"/>
      <c r="O31" s="13" t="n"/>
      <c r="P31" s="12" t="n"/>
      <c r="Q31" s="13" t="n"/>
      <c r="R31" s="12" t="n"/>
      <c r="S31" s="13" t="n"/>
      <c r="T31" s="12" t="n"/>
      <c r="U31" s="13" t="n"/>
      <c r="V31" s="12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I31" s="165" t="n"/>
      <c r="AJ31" s="161" t="n"/>
      <c r="AK31" s="165" t="n"/>
      <c r="AL31" s="161" t="n"/>
      <c r="AM31" s="165" t="n"/>
      <c r="AN31" s="161" t="n"/>
    </row>
    <row r="32">
      <c r="A32" s="159" t="n"/>
      <c r="B32" s="144" t="n"/>
      <c r="C32" s="145" t="n"/>
      <c r="D32" s="145" t="n"/>
      <c r="E32" s="145" t="n"/>
      <c r="F32" s="145" t="n"/>
      <c r="G32" s="145" t="n"/>
      <c r="H32" s="145" t="n"/>
      <c r="I32" s="146" t="n"/>
      <c r="J32" s="12" t="n"/>
      <c r="K32" s="13" t="n"/>
      <c r="L32" s="12" t="n"/>
      <c r="M32" s="13" t="n"/>
      <c r="N32" s="12" t="n"/>
      <c r="O32" s="13" t="n"/>
      <c r="P32" s="12" t="n"/>
      <c r="Q32" s="13" t="n"/>
      <c r="R32" s="12" t="n"/>
      <c r="S32" s="13" t="n"/>
      <c r="T32" s="12" t="n"/>
      <c r="U32" s="13" t="n"/>
      <c r="V32" s="12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I32" s="165" t="n"/>
      <c r="AJ32" s="161" t="n"/>
      <c r="AK32" s="165" t="n"/>
      <c r="AL32" s="161" t="n"/>
      <c r="AM32" s="165" t="n"/>
      <c r="AN32" s="161" t="n"/>
    </row>
    <row r="33">
      <c r="A33" s="159" t="n"/>
      <c r="B33" s="144" t="n"/>
      <c r="C33" s="145" t="n"/>
      <c r="D33" s="145" t="n"/>
      <c r="E33" s="145" t="n"/>
      <c r="F33" s="145" t="n"/>
      <c r="G33" s="145" t="n"/>
      <c r="H33" s="145" t="n"/>
      <c r="I33" s="146" t="n"/>
      <c r="J33" s="12" t="n"/>
      <c r="K33" s="13" t="n"/>
      <c r="L33" s="12" t="n"/>
      <c r="M33" s="13" t="n"/>
      <c r="N33" s="12" t="n"/>
      <c r="O33" s="13" t="n"/>
      <c r="P33" s="12" t="n"/>
      <c r="Q33" s="13" t="n"/>
      <c r="R33" s="12" t="n"/>
      <c r="S33" s="13" t="n"/>
      <c r="T33" s="12" t="n"/>
      <c r="U33" s="13" t="n"/>
      <c r="V33" s="12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I33" s="165" t="n"/>
      <c r="AJ33" s="161" t="n"/>
      <c r="AK33" s="165" t="n"/>
      <c r="AL33" s="161" t="n"/>
      <c r="AM33" s="165" t="n"/>
      <c r="AN33" s="161" t="n"/>
    </row>
    <row r="34" ht="15.75" customHeight="1" thickBot="1">
      <c r="A34" s="159" t="n"/>
      <c r="B34" s="151" t="n"/>
      <c r="C34" s="152" t="n"/>
      <c r="D34" s="152" t="n"/>
      <c r="E34" s="152" t="n"/>
      <c r="F34" s="152" t="n"/>
      <c r="G34" s="152" t="n"/>
      <c r="H34" s="152" t="n"/>
      <c r="I34" s="153" t="n"/>
      <c r="J34" s="14" t="n"/>
      <c r="K34" s="15" t="n"/>
      <c r="L34" s="14" t="n"/>
      <c r="M34" s="15" t="n"/>
      <c r="N34" s="14" t="n"/>
      <c r="O34" s="15" t="n"/>
      <c r="P34" s="14" t="n"/>
      <c r="Q34" s="15" t="n"/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  <c r="AG34" s="15" t="n"/>
      <c r="AH34" s="162" t="n"/>
      <c r="AI34" s="166" t="n"/>
      <c r="AJ34" s="164" t="n"/>
      <c r="AK34" s="166" t="n"/>
      <c r="AL34" s="164" t="n"/>
      <c r="AM34" s="166" t="n"/>
      <c r="AN34" s="164" t="n"/>
    </row>
    <row r="35" ht="15" customHeight="1">
      <c r="A35" s="159" t="n"/>
      <c r="B35" s="96" t="inlineStr">
        <is>
          <t>Спецодежда</t>
        </is>
      </c>
      <c r="C35" s="84">
        <f>COUNT(J35:AG39)</f>
        <v/>
      </c>
      <c r="D35" s="84">
        <f>C35*42</f>
        <v/>
      </c>
      <c r="E35" s="84">
        <f>C35*55*3</f>
        <v/>
      </c>
      <c r="F35" s="84">
        <f>C35*55*10</f>
        <v/>
      </c>
      <c r="G35" s="84">
        <f>C35*55*0</f>
        <v/>
      </c>
      <c r="H35" s="156">
        <f>C35*55*3</f>
        <v/>
      </c>
      <c r="I35" s="157">
        <f>C35*55*1</f>
        <v/>
      </c>
      <c r="J35" s="10" t="n"/>
      <c r="K35" s="11" t="n"/>
      <c r="L35" s="10" t="n"/>
      <c r="M35" s="11" t="n"/>
      <c r="N35" s="10" t="n"/>
      <c r="O35" s="11" t="n"/>
      <c r="P35" s="10" t="n"/>
      <c r="Q35" s="11" t="n"/>
      <c r="R35" s="10" t="n"/>
      <c r="S35" s="11" t="n"/>
      <c r="T35" s="10" t="n"/>
      <c r="U35" s="11" t="n"/>
      <c r="V35" s="10" t="n"/>
      <c r="W35" s="11" t="n"/>
      <c r="X35" s="10" t="n"/>
      <c r="Y35" s="11" t="n"/>
      <c r="Z35" s="10" t="n"/>
      <c r="AA35" s="11" t="n"/>
      <c r="AB35" s="10" t="n"/>
      <c r="AC35" s="11" t="n"/>
      <c r="AD35" s="10" t="n"/>
      <c r="AE35" s="11" t="n"/>
      <c r="AF35" s="10" t="n"/>
      <c r="AG35" s="11" t="n"/>
      <c r="AH35" s="90">
        <f>SUM(J35:AG39)</f>
        <v/>
      </c>
      <c r="AI35" s="93" t="n"/>
      <c r="AJ35" s="77">
        <f>AI35*5</f>
        <v/>
      </c>
      <c r="AK35" s="93" t="n"/>
      <c r="AL35" s="77">
        <f>AK35*50</f>
        <v/>
      </c>
      <c r="AM35" s="93" t="n"/>
      <c r="AN35" s="77">
        <f>AM35*175</f>
        <v/>
      </c>
    </row>
    <row r="36">
      <c r="A36" s="159" t="n"/>
      <c r="B36" s="144" t="n"/>
      <c r="C36" s="145" t="n"/>
      <c r="D36" s="145" t="n"/>
      <c r="E36" s="145" t="n"/>
      <c r="F36" s="145" t="n"/>
      <c r="G36" s="145" t="n"/>
      <c r="H36" s="145" t="n"/>
      <c r="I36" s="146" t="n"/>
      <c r="J36" s="12" t="n"/>
      <c r="K36" s="13" t="n"/>
      <c r="L36" s="12" t="n"/>
      <c r="M36" s="13" t="n"/>
      <c r="N36" s="12" t="n"/>
      <c r="O36" s="13" t="n"/>
      <c r="P36" s="12" t="n"/>
      <c r="Q36" s="13" t="n"/>
      <c r="R36" s="12" t="n"/>
      <c r="S36" s="13" t="n"/>
      <c r="T36" s="12" t="n"/>
      <c r="U36" s="13" t="n"/>
      <c r="V36" s="12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I36" s="165" t="n"/>
      <c r="AJ36" s="161" t="n"/>
      <c r="AK36" s="165" t="n"/>
      <c r="AL36" s="161" t="n"/>
      <c r="AM36" s="165" t="n"/>
      <c r="AN36" s="161" t="n"/>
    </row>
    <row r="37">
      <c r="A37" s="159" t="n"/>
      <c r="B37" s="144" t="n"/>
      <c r="C37" s="145" t="n"/>
      <c r="D37" s="145" t="n"/>
      <c r="E37" s="145" t="n"/>
      <c r="F37" s="145" t="n"/>
      <c r="G37" s="145" t="n"/>
      <c r="H37" s="145" t="n"/>
      <c r="I37" s="146" t="n"/>
      <c r="J37" s="12" t="n"/>
      <c r="K37" s="13" t="n"/>
      <c r="L37" s="12" t="n"/>
      <c r="M37" s="13" t="n"/>
      <c r="N37" s="12" t="n"/>
      <c r="O37" s="13" t="n"/>
      <c r="P37" s="12" t="n"/>
      <c r="Q37" s="13" t="n"/>
      <c r="R37" s="12" t="n"/>
      <c r="S37" s="13" t="n"/>
      <c r="T37" s="12" t="n"/>
      <c r="U37" s="13" t="n"/>
      <c r="V37" s="12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I37" s="165" t="n"/>
      <c r="AJ37" s="161" t="n"/>
      <c r="AK37" s="165" t="n"/>
      <c r="AL37" s="161" t="n"/>
      <c r="AM37" s="165" t="n"/>
      <c r="AN37" s="161" t="n"/>
    </row>
    <row r="38">
      <c r="A38" s="159" t="n"/>
      <c r="B38" s="144" t="n"/>
      <c r="C38" s="145" t="n"/>
      <c r="D38" s="145" t="n"/>
      <c r="E38" s="145" t="n"/>
      <c r="F38" s="145" t="n"/>
      <c r="G38" s="145" t="n"/>
      <c r="H38" s="145" t="n"/>
      <c r="I38" s="146" t="n"/>
      <c r="J38" s="12" t="n"/>
      <c r="K38" s="13" t="n"/>
      <c r="L38" s="12" t="n"/>
      <c r="M38" s="13" t="n"/>
      <c r="N38" s="12" t="n"/>
      <c r="O38" s="13" t="n"/>
      <c r="P38" s="12" t="n"/>
      <c r="Q38" s="13" t="n"/>
      <c r="R38" s="12" t="n"/>
      <c r="S38" s="13" t="n"/>
      <c r="T38" s="12" t="n"/>
      <c r="U38" s="13" t="n"/>
      <c r="V38" s="12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I38" s="165" t="n"/>
      <c r="AJ38" s="161" t="n"/>
      <c r="AK38" s="165" t="n"/>
      <c r="AL38" s="161" t="n"/>
      <c r="AM38" s="165" t="n"/>
      <c r="AN38" s="161" t="n"/>
    </row>
    <row r="39" ht="15.75" customHeight="1" thickBot="1">
      <c r="A39" s="159" t="n"/>
      <c r="B39" s="144" t="n"/>
      <c r="C39" s="145" t="n"/>
      <c r="D39" s="145" t="n"/>
      <c r="E39" s="145" t="n"/>
      <c r="F39" s="145" t="n"/>
      <c r="G39" s="145" t="n"/>
      <c r="H39" s="152" t="n"/>
      <c r="I39" s="153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15" t="n"/>
      <c r="T39" s="14" t="n"/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  <c r="AG39" s="15" t="n"/>
      <c r="AH39" s="167" t="n"/>
      <c r="AI39" s="166" t="n"/>
      <c r="AJ39" s="164" t="n"/>
      <c r="AK39" s="166" t="n"/>
      <c r="AL39" s="164" t="n"/>
      <c r="AM39" s="166" t="n"/>
      <c r="AN39" s="164" t="n"/>
    </row>
    <row r="40" ht="54.75" customHeight="1" thickBot="1">
      <c r="A40" s="82" t="inlineStr">
        <is>
          <t>ИТОГО</t>
        </is>
      </c>
      <c r="B40" s="168" t="n"/>
      <c r="C40" s="83">
        <f>C5+C10+C15+C20+C25+C30+C35</f>
        <v/>
      </c>
      <c r="D40" s="83">
        <f>D5+D10+D15+D20+D25+D30+D35</f>
        <v/>
      </c>
      <c r="E40" s="83">
        <f>E5+E10+E15+E20+E25+E30+E35</f>
        <v/>
      </c>
      <c r="F40" s="83">
        <f>F5+F10+F15+F20+F25+F30+F35</f>
        <v/>
      </c>
      <c r="G40" s="83">
        <f>G5+G10+G15+G20+G25+G30+G35</f>
        <v/>
      </c>
      <c r="H40" s="83">
        <f>H5+H10+H15+H20+H25+H30+H35</f>
        <v/>
      </c>
      <c r="I40" s="83">
        <f>I5+I10+I15+I20+I25+I30+I35</f>
        <v/>
      </c>
      <c r="J40" s="83">
        <f>J5+J6+J7+J8+J9+J10+J11+J12+J13+J14+J15+J16+J17+J18+J19+J20+J21+J22+J23+J24+J25+J26+J27+J28+J29+J30+J31+J32+J33+J34+J35+J36+J37+J38+J39</f>
        <v/>
      </c>
      <c r="K40" s="83">
        <f>K5+K6+K7+K8+K9+K10+K11+K12+K13+K14+K15+K16+K17+K18+K19+K20+K21+K22+K23+K24+K25+K26+K27+K28+K29+K30+K31+K32+K33+K34+K35+K36+K37+K38+K39</f>
        <v/>
      </c>
      <c r="L40" s="83">
        <f>L5+L6+L7+L8+L9+L10+L11+L12+L13+L14+L15+L16+L17+L18+L19+L20+L21+L22+L23+L24+L25+L26+L27+L28+L29+L30+L31+L32+L33+L34+L35+L36+L37+L38+L39</f>
        <v/>
      </c>
      <c r="M40" s="83">
        <f>M5+M6+M7+M8+M9+M10+M11+M12+M13+M14+M15+M16+M17+M18+M19+M20+M21+M22+M23+M24+M25+M26+M27+M28+M29+M30+M31+M32+M33+M34+M35+M36+M37+M38+M39</f>
        <v/>
      </c>
      <c r="N40" s="83">
        <f>N5+N6+N7+N8+N9+N10+N11+N12+N13+N14+N15+N16+N17+N18+N19+N20+N21+N22+N23+N24+N25+N26+N27+N28+N29+N30+N31+N32+N33+N34+N35+N36+N37+N38+N39</f>
        <v/>
      </c>
      <c r="O40" s="83">
        <f>O5+O6+O7+O8+O9+O10+O11+O12+O13+O14+O15+O16+O17+O18+O19+O20+O21+O22+O23+O24+O25+O26+O27+O28+O29+O30+O31+O32+O33+O34+O35+O36+O37+O38+O39</f>
        <v/>
      </c>
      <c r="P40" s="83">
        <f>P5+P6+P7+P8+P9+P10+P11+P12+P13+P14+P15+P16+P17+P18+P19+P20+P21+P22+P23+P24+P25+P26+P27+P28+P29+P30+P31+P32+P33+P34+P35+P36+P37+P38+P39</f>
        <v/>
      </c>
      <c r="Q40" s="83">
        <f>Q5+Q6+Q7+Q8+Q9+Q10+Q11+Q12+Q13+Q14+Q15+Q16+Q17+Q18+Q19+Q20+Q21+Q22+Q23+Q24+Q25+Q26+Q27+Q28+Q29+Q30+Q31+Q32+Q33+Q34+Q35+Q36+Q37+Q38+Q39</f>
        <v/>
      </c>
      <c r="R40" s="83">
        <f>R5+R6+R7+R8+R9+R10+R11+R12+R13+R14+R15+R16+R17+R18+R19+R20+R21+R22+R23+R24+R25+R26+R27+R28+R29+R30+R31+R32+R33+R34+R35+R36+R37+R38+R39</f>
        <v/>
      </c>
      <c r="S40" s="83">
        <f>S5+S6+S7+S8+S9+S10+S11+S12+S13+S14+S15+S16+S17+S18+S19+S20+S21+S22+S23+S24+S25+S26+S27+S28+S29+S30+S31+S32+S33+S34+S35+S36+S37+S38+S39</f>
        <v/>
      </c>
      <c r="T40" s="83">
        <f>T5+T6+T7+T8+T9+T10+T11+T12+T13+T14+T15+T16+T17+T18+T19+T20+T21+T22+T23+T24+T25+T26+T27+T28+T29+T30+T31+T32+T33+T34+T35+T36+T37+T38+T39</f>
        <v/>
      </c>
      <c r="U40" s="83">
        <f>U5+U6+U7+U8+U9+U10+U11+U12+U13+U14+U15+U16+U17+U18+U19+U20+U21+U22+U23+U24+U25+U26+U27+U28+U29+U30+U31+U32+U33+U34+U35+U36+U37+U38+U39</f>
        <v/>
      </c>
      <c r="V40" s="83">
        <f>V5+V6+V7+V8+V9+V10+V11+V12+V13+V14+V15+V16+V17+V18+V19+V20+V21+V22+V23+V24+V25+V26+V27+V28+V29+V30+V31+V32+V33+V34+V35+V36+V37+V38+V39</f>
        <v/>
      </c>
      <c r="W40" s="83">
        <f>W5+W6+W7+W8+W9+W10+W11+W12+W13+W14+W15+W16+W17+W18+W19+W20+W21+W22+W23+W24+W25+W26+W27+W28+W29+W30+W31+W32+W33+W34+W35+W36+W37+W38+W39</f>
        <v/>
      </c>
      <c r="X40" s="83">
        <f>X5+X6+X7+X8+X9+X10+X11+X12+X13+X14+X15+X16+X17+X18+X19+X20+X21+X22+X23+X24+X25+X26+X27+X28+X29+X30+X31+X32+X33+X34+X35+X36+X37+X38+X39</f>
        <v/>
      </c>
      <c r="Y40" s="83">
        <f>Y5+Y6+Y7+Y8+Y9+Y10+Y11+Y12+Y13+Y14+Y15+Y16+Y17+Y18+Y19+Y20+Y21+Y22+Y23+Y24+Y25+Y26+Y27+Y28+Y29+Y30+Y31+Y32+Y33+Y34+Y35+Y36+Y37+Y38+Y39</f>
        <v/>
      </c>
      <c r="Z40" s="83">
        <f>Z5+Z6+Z7+Z8+Z9+Z10+Z11+Z12+Z13+Z14+Z15+Z16+Z17+Z18+Z19+Z20+Z21+Z22+Z23+Z24+Z25+Z26+Z27+Z28+Z29+Z30+Z31+Z32+Z33+Z34+Z35+Z36+Z37+Z38+Z39</f>
        <v/>
      </c>
      <c r="AA40" s="83">
        <f>AA5+AA6+AA7+AA8+AA9+AA10+AA11+AA12+AA13+AA14+AA15+AA16+AA17+AA18+AA19+AA20+AA21+AA22+AA23+AA24+AA25+AA26+AA27+AA28+AA29+AA30+AA31+AA32+AA33+AA34+AA35+AA36+AA37+AA38+AA39</f>
        <v/>
      </c>
      <c r="AB40" s="83">
        <f>AB5+AB6+AB7+AB8+AB9+AB10+AB11+AB12+AB13+AB14+AB15+AB16+AB17+AB18+AB19+AB20+AB21+AB22+AB23+AB24+AB25+AB26+AB27+AB28+AB29+AB30+AB31+AB32+AB33+AB34+AB35+AB36+AB37+AB38+AB39</f>
        <v/>
      </c>
      <c r="AC40" s="83">
        <f>AC5+AC6+AC7+AC8+AC9+AC10+AC11+AC12+AC13+AC14+AC15+AC16+AC17+AC18+AC19+AC20+AC21+AC22+AC23+AC24+AC25+AC26+AC27+AC28+AC29+AC30+AC31+AC32+AC33+AC34+AC35+AC36+AC37+AC38+AC39</f>
        <v/>
      </c>
      <c r="AD40" s="83">
        <f>AD5+AD6+AD7+AD8+AD9+AD10+AD11+AD12+AD13+AD14+AD15+AD16+AD17+AD18+AD19+AD20+AD21+AD22+AD23+AD24+AD25+AD26+AD27+AD28+AD29+AD30+AD31+AD32+AD33+AD34+AD35+AD36+AD37+AD38+AD39</f>
        <v/>
      </c>
      <c r="AE40" s="83">
        <f>AE5+AE6+AE7+AE8+AE9+AE10+AE11+AE12+AE13+AE14+AE15+AE16+AE17+AE18+AE19+AE20+AE21+AE22+AE23+AE24+AE25+AE26+AE27+AE28+AE29+AE30+AE31+AE32+AE33+AE34+AE35+AE36+AE37+AE38+AE39</f>
        <v/>
      </c>
      <c r="AF40" s="83">
        <f>AF5+AF6+AF7+AF8+AF9+AF10+AF11+AF12+AF13+AF14+AF15+AF16+AF17+AF18+AF19+AF20+AF21+AF22+AF23+AF24+AF25+AF26+AF27+AF28+AF29+AF30+AF31+AF32+AF33+AF34+AF35+AF36+AF37+AF38+AF39</f>
        <v/>
      </c>
      <c r="AG40" s="83">
        <f>AG5+AG6+AG7+AG8+AG9+AG10+AG11+AG12+AG13+AG14+AG15+AG16+AG17+AG18+AG19+AG20+AG21+AG22+AG23+AG24+AG25+AG26+AG27+AG28+AG29+AG30+AG31+AG32+AG33+AG34+AG35+AG36+AG37+AG38+AG39</f>
        <v/>
      </c>
      <c r="AH40" s="83">
        <f>AH5+AH10+AH15+AH20+AH25+AH30+AH35</f>
        <v/>
      </c>
      <c r="AI40" s="83">
        <f>AI5+AI10+AI15+AI20+AI25+AI30+AI35</f>
        <v/>
      </c>
      <c r="AJ40" s="83">
        <f>AJ5+AJ10+AJ15+AJ20+AJ25+AJ30+AJ35</f>
        <v/>
      </c>
      <c r="AK40" s="83">
        <f>AK5+AK10+AK15+AK20+AK25+AK30+AK35</f>
        <v/>
      </c>
      <c r="AL40" s="83">
        <f>AL5+AL10+AL15+AL20+AL25+AL30+AL35</f>
        <v/>
      </c>
      <c r="AM40" s="83">
        <f>AM5+AM10+AM15+AM20+AM25+AM30+AM35</f>
        <v/>
      </c>
      <c r="AN40" s="8">
        <f>AN5+AN10+AN15+AN20+AN25+AN30+AN35</f>
        <v/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ccJdErWyW3+1uxPIInX1uw==" formatRows="0" sort="0" spinCount="100000" hashValue="uc0s/JRd2c5VB0TdYMy/n1sHUUqaPO9u4Vex5zEVQEGbQ7ukZyVRlyYrU5YJU3dAVrqWK6AONQrk4afTz4ysfw=="/>
  <mergeCells count="134">
    <mergeCell ref="F35:F39"/>
    <mergeCell ref="AD3:AE3"/>
    <mergeCell ref="E30:E34"/>
    <mergeCell ref="AM30:AM34"/>
    <mergeCell ref="G30:G34"/>
    <mergeCell ref="AM20:AM24"/>
    <mergeCell ref="AH2:AH4"/>
    <mergeCell ref="B5:B9"/>
    <mergeCell ref="D5:D9"/>
    <mergeCell ref="L3:M3"/>
    <mergeCell ref="N3:O3"/>
    <mergeCell ref="I10:I14"/>
    <mergeCell ref="D25:D29"/>
    <mergeCell ref="AJ35:AJ39"/>
    <mergeCell ref="AM15:AM19"/>
    <mergeCell ref="AL35:AL39"/>
    <mergeCell ref="AI2:AJ3"/>
    <mergeCell ref="AK2:AL3"/>
    <mergeCell ref="AH25:AH29"/>
    <mergeCell ref="AL10:AL14"/>
    <mergeCell ref="AJ25:AJ29"/>
    <mergeCell ref="AI10:AI14"/>
    <mergeCell ref="H35:H39"/>
    <mergeCell ref="G2:G4"/>
    <mergeCell ref="H5:H9"/>
    <mergeCell ref="F25:F29"/>
    <mergeCell ref="J2:AG2"/>
    <mergeCell ref="D2:D4"/>
    <mergeCell ref="AN5:AN9"/>
    <mergeCell ref="AK5:AK9"/>
    <mergeCell ref="AM5:AM9"/>
    <mergeCell ref="I25:I29"/>
    <mergeCell ref="C10:C14"/>
    <mergeCell ref="AH20:AH24"/>
    <mergeCell ref="B10:B14"/>
    <mergeCell ref="G5:G9"/>
    <mergeCell ref="I5:I9"/>
    <mergeCell ref="AI20:AI24"/>
    <mergeCell ref="AM35:AM39"/>
    <mergeCell ref="AK20:AK24"/>
    <mergeCell ref="AH15:AH19"/>
    <mergeCell ref="AJ15:AJ19"/>
    <mergeCell ref="G20:G24"/>
    <mergeCell ref="AN10:AN14"/>
    <mergeCell ref="D20:D24"/>
    <mergeCell ref="C15:C19"/>
    <mergeCell ref="X3:Y3"/>
    <mergeCell ref="B35:B39"/>
    <mergeCell ref="Z3:AA3"/>
    <mergeCell ref="I2:I4"/>
    <mergeCell ref="D35:D39"/>
    <mergeCell ref="A5:A39"/>
    <mergeCell ref="C30:C34"/>
    <mergeCell ref="B25:B29"/>
    <mergeCell ref="I15:I19"/>
    <mergeCell ref="H10:H14"/>
    <mergeCell ref="F15:F19"/>
    <mergeCell ref="J3:K3"/>
    <mergeCell ref="E10:E14"/>
    <mergeCell ref="G10:G14"/>
    <mergeCell ref="F30:F34"/>
    <mergeCell ref="AH35:AH39"/>
    <mergeCell ref="AN20:AN24"/>
    <mergeCell ref="AH10:AH14"/>
    <mergeCell ref="A2:A4"/>
    <mergeCell ref="AI35:AI39"/>
    <mergeCell ref="C2:C4"/>
    <mergeCell ref="AK35:AK39"/>
    <mergeCell ref="AH30:AH34"/>
    <mergeCell ref="AK10:AK14"/>
    <mergeCell ref="AJ30:AJ34"/>
    <mergeCell ref="AI25:AI29"/>
    <mergeCell ref="I20:I24"/>
    <mergeCell ref="AJ5:AJ9"/>
    <mergeCell ref="H15:H19"/>
    <mergeCell ref="G35:G39"/>
    <mergeCell ref="I35:I39"/>
    <mergeCell ref="AI5:AI9"/>
    <mergeCell ref="AM25:AM29"/>
    <mergeCell ref="E25:E29"/>
    <mergeCell ref="G25:G29"/>
    <mergeCell ref="E5:E9"/>
    <mergeCell ref="I30:I34"/>
    <mergeCell ref="B2:B4"/>
    <mergeCell ref="C5:C9"/>
    <mergeCell ref="AK15:AK19"/>
    <mergeCell ref="F20:F24"/>
    <mergeCell ref="F5:F9"/>
    <mergeCell ref="P3:Q3"/>
    <mergeCell ref="AJ10:AJ14"/>
    <mergeCell ref="H25:H29"/>
    <mergeCell ref="AK30:AK34"/>
    <mergeCell ref="F2:F4"/>
    <mergeCell ref="AN35:AN39"/>
    <mergeCell ref="H2:H4"/>
    <mergeCell ref="AI15:AI19"/>
    <mergeCell ref="A40:B40"/>
    <mergeCell ref="AL25:AL29"/>
    <mergeCell ref="T3:U3"/>
    <mergeCell ref="AN25:AN29"/>
    <mergeCell ref="V3:W3"/>
    <mergeCell ref="E2:E4"/>
    <mergeCell ref="AF3:AG3"/>
    <mergeCell ref="AM10:AM14"/>
    <mergeCell ref="E15:E19"/>
    <mergeCell ref="AL5:AL9"/>
    <mergeCell ref="B15:B19"/>
    <mergeCell ref="D15:D19"/>
    <mergeCell ref="B30:B34"/>
    <mergeCell ref="D30:D34"/>
    <mergeCell ref="B20:B24"/>
    <mergeCell ref="AJ20:AJ24"/>
    <mergeCell ref="AL20:AL24"/>
    <mergeCell ref="AM2:AN3"/>
    <mergeCell ref="D10:D14"/>
    <mergeCell ref="H30:H34"/>
    <mergeCell ref="F10:F14"/>
    <mergeCell ref="H20:H24"/>
    <mergeCell ref="AL30:AL34"/>
    <mergeCell ref="AN30:AN34"/>
    <mergeCell ref="R3:S3"/>
    <mergeCell ref="AL15:AL19"/>
    <mergeCell ref="E20:E24"/>
    <mergeCell ref="AN15:AN19"/>
    <mergeCell ref="A1:AN1"/>
    <mergeCell ref="AH5:AH9"/>
    <mergeCell ref="C35:C39"/>
    <mergeCell ref="E35:E39"/>
    <mergeCell ref="C20:C24"/>
    <mergeCell ref="AK25:AK29"/>
    <mergeCell ref="C25:C29"/>
    <mergeCell ref="AI30:AI34"/>
    <mergeCell ref="G15:G19"/>
    <mergeCell ref="AB3:AC3"/>
  </mergeCells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Y40"/>
  <sheetViews>
    <sheetView tabSelected="1" topLeftCell="A6" zoomScale="40" zoomScaleNormal="40" workbookViewId="0">
      <selection activeCell="N14" sqref="N14"/>
    </sheetView>
  </sheetViews>
  <sheetFormatPr baseColWidth="8" defaultRowHeight="15"/>
  <cols>
    <col width="6" customWidth="1" min="1" max="1"/>
    <col width="7.28515625" customWidth="1" style="1" min="2" max="25"/>
  </cols>
  <sheetData>
    <row r="1">
      <c r="A1" s="106" t="inlineStr">
        <is>
          <t>Лист для ежедневной регистрации грязного белья и постельных принадлежностей (в кг)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22" t="n"/>
    </row>
    <row r="2">
      <c r="A2" s="169" t="inlineStr">
        <is>
          <t>Дата: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  <c r="N2" s="170" t="n"/>
      <c r="O2" s="170" t="n"/>
      <c r="P2" s="170" t="n"/>
      <c r="Q2" s="170" t="n"/>
      <c r="R2" s="170" t="n"/>
      <c r="S2" s="170" t="n"/>
      <c r="T2" s="170" t="n"/>
      <c r="U2" s="170" t="n"/>
      <c r="V2" s="170" t="n"/>
      <c r="W2" s="170" t="n"/>
      <c r="X2" s="170" t="n"/>
      <c r="Y2" s="171" t="n"/>
    </row>
    <row r="3" ht="15" customHeight="1">
      <c r="A3" s="172" t="inlineStr">
        <is>
          <t xml:space="preserve">Вид </t>
        </is>
      </c>
      <c r="B3" s="173" t="inlineStr">
        <is>
          <t>Вес:</t>
        </is>
      </c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  <c r="R3" s="170" t="n"/>
      <c r="S3" s="170" t="n"/>
      <c r="T3" s="170" t="n"/>
      <c r="U3" s="170" t="n"/>
      <c r="V3" s="170" t="n"/>
      <c r="W3" s="170" t="n"/>
      <c r="X3" s="170" t="n"/>
      <c r="Y3" s="171" t="n"/>
    </row>
    <row r="4">
      <c r="A4" s="150" t="n"/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K4" s="2" t="n">
        <v>10</v>
      </c>
      <c r="L4" s="2" t="n">
        <v>11</v>
      </c>
      <c r="M4" s="2" t="n">
        <v>12</v>
      </c>
      <c r="N4" s="75" t="n">
        <v>1</v>
      </c>
      <c r="O4" s="75" t="n">
        <v>2</v>
      </c>
      <c r="P4" s="75" t="n">
        <v>3</v>
      </c>
      <c r="Q4" s="75" t="n">
        <v>4</v>
      </c>
      <c r="R4" s="75" t="n">
        <v>5</v>
      </c>
      <c r="S4" s="75" t="n">
        <v>6</v>
      </c>
      <c r="T4" s="75" t="n">
        <v>7</v>
      </c>
      <c r="U4" s="75" t="n">
        <v>8</v>
      </c>
      <c r="V4" s="75" t="n">
        <v>9</v>
      </c>
      <c r="W4" s="75" t="n">
        <v>10</v>
      </c>
      <c r="X4" s="75" t="n">
        <v>11</v>
      </c>
      <c r="Y4" s="76" t="n">
        <v>12</v>
      </c>
    </row>
    <row r="5" ht="15.75" customHeight="1" thickBot="1">
      <c r="A5" s="174" t="inlineStr">
        <is>
          <t>день</t>
        </is>
      </c>
      <c r="B5" s="175" t="n"/>
      <c r="C5" s="175" t="n"/>
      <c r="D5" s="175" t="n"/>
      <c r="E5" s="175" t="n"/>
      <c r="F5" s="175" t="n"/>
      <c r="G5" s="175" t="n"/>
      <c r="H5" s="175" t="n"/>
      <c r="I5" s="175" t="n"/>
      <c r="J5" s="175" t="n"/>
      <c r="K5" s="175" t="n"/>
      <c r="L5" s="175" t="n"/>
      <c r="M5" s="176" t="n"/>
      <c r="N5" s="133" t="inlineStr">
        <is>
          <t>ночь</t>
        </is>
      </c>
      <c r="O5" s="175" t="n"/>
      <c r="P5" s="175" t="n"/>
      <c r="Q5" s="175" t="n"/>
      <c r="R5" s="175" t="n"/>
      <c r="S5" s="175" t="n"/>
      <c r="T5" s="175" t="n"/>
      <c r="U5" s="175" t="n"/>
      <c r="V5" s="175" t="n"/>
      <c r="W5" s="175" t="n"/>
      <c r="X5" s="175" t="n"/>
      <c r="Y5" s="176" t="n"/>
    </row>
    <row r="6" ht="18" customHeight="1">
      <c r="A6" s="142" t="inlineStr">
        <is>
          <t>Постель 
белая</t>
        </is>
      </c>
      <c r="B6" s="22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8" t="n"/>
      <c r="N6" s="63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5" t="n"/>
    </row>
    <row r="7" ht="18" customHeight="1">
      <c r="A7" s="149" t="n"/>
      <c r="B7" s="23" t="n"/>
      <c r="M7" s="19" t="n"/>
      <c r="N7" s="66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8" t="n"/>
    </row>
    <row r="8" ht="18" customHeight="1">
      <c r="A8" s="149" t="n"/>
      <c r="B8" s="23" t="n"/>
      <c r="M8" s="19" t="n"/>
      <c r="N8" s="66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8" t="n"/>
    </row>
    <row r="9" ht="18" customHeight="1">
      <c r="A9" s="149" t="n"/>
      <c r="B9" s="23" t="n"/>
      <c r="M9" s="19" t="n"/>
      <c r="N9" s="66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8" t="n"/>
    </row>
    <row r="10" ht="18" customHeight="1" thickBot="1">
      <c r="A10" s="154" t="n"/>
      <c r="B10" s="24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20" t="n"/>
      <c r="N10" s="69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1" t="n"/>
    </row>
    <row r="11" ht="18" customHeight="1">
      <c r="A11" s="142" t="inlineStr">
        <is>
          <t>Махра
 белая</t>
        </is>
      </c>
      <c r="B11" s="22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8" t="n"/>
      <c r="N11" s="63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5" t="n"/>
    </row>
    <row r="12" ht="18" customHeight="1">
      <c r="A12" s="149" t="n"/>
      <c r="B12" s="23" t="n"/>
      <c r="M12" s="19" t="n"/>
      <c r="N12" s="66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8" t="n"/>
    </row>
    <row r="13" ht="18" customHeight="1">
      <c r="A13" s="149" t="n"/>
      <c r="B13" s="23" t="n"/>
      <c r="M13" s="19" t="n"/>
      <c r="N13" s="66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8" t="n"/>
    </row>
    <row r="14" ht="18" customHeight="1">
      <c r="A14" s="149" t="n"/>
      <c r="B14" s="23" t="n"/>
      <c r="M14" s="19" t="n"/>
      <c r="N14" s="66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8" t="n"/>
    </row>
    <row r="15" ht="18" customHeight="1" thickBot="1">
      <c r="A15" s="154" t="n"/>
      <c r="B15" s="24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20" t="n"/>
      <c r="N15" s="69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  <c r="X15" s="70" t="n"/>
      <c r="Y15" s="71" t="n"/>
    </row>
    <row r="16" ht="18" customHeight="1">
      <c r="A16" s="142" t="inlineStr">
        <is>
          <t>Униформа белая</t>
        </is>
      </c>
      <c r="B16" s="22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8" t="n"/>
      <c r="N16" s="63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5" t="n"/>
    </row>
    <row r="17" ht="18" customHeight="1">
      <c r="A17" s="149" t="n"/>
      <c r="B17" s="23" t="n"/>
      <c r="M17" s="19" t="n"/>
      <c r="N17" s="66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8" t="n"/>
    </row>
    <row r="18" ht="18" customHeight="1">
      <c r="A18" s="149" t="n"/>
      <c r="B18" s="23" t="n"/>
      <c r="M18" s="19" t="n"/>
      <c r="N18" s="66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8" t="n"/>
    </row>
    <row r="19" ht="18" customHeight="1">
      <c r="A19" s="149" t="n"/>
      <c r="B19" s="23" t="n"/>
      <c r="M19" s="19" t="n"/>
      <c r="N19" s="66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8" t="n"/>
    </row>
    <row r="20" ht="18" customHeight="1" thickBot="1">
      <c r="A20" s="154" t="n"/>
      <c r="B20" s="24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20" t="n"/>
      <c r="N20" s="69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1" t="n"/>
    </row>
    <row r="21" ht="18" customHeight="1">
      <c r="A21" s="142" t="inlineStr">
        <is>
          <t>Униформа темная</t>
        </is>
      </c>
      <c r="B21" s="22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8" t="n"/>
      <c r="N21" s="63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5" t="n"/>
    </row>
    <row r="22" ht="18" customHeight="1">
      <c r="A22" s="149" t="n"/>
      <c r="B22" s="23" t="n"/>
      <c r="M22" s="19" t="n"/>
      <c r="N22" s="66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8" t="n"/>
    </row>
    <row r="23" ht="18" customHeight="1">
      <c r="A23" s="149" t="n"/>
      <c r="B23" s="23" t="n"/>
      <c r="M23" s="19" t="n"/>
      <c r="N23" s="66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8" t="n"/>
    </row>
    <row r="24" ht="18" customHeight="1">
      <c r="A24" s="149" t="n"/>
      <c r="B24" s="23" t="n"/>
      <c r="M24" s="19" t="n"/>
      <c r="N24" s="66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8" t="n"/>
    </row>
    <row r="25" ht="18" customHeight="1" thickBot="1">
      <c r="A25" s="154" t="n"/>
      <c r="B25" s="24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20" t="n"/>
      <c r="N25" s="69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1" t="n"/>
    </row>
    <row r="26" ht="18" customHeight="1">
      <c r="A26" s="142" t="inlineStr">
        <is>
          <t>Синтетика</t>
        </is>
      </c>
      <c r="B26" s="22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8" t="n"/>
      <c r="N26" s="63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5" t="n"/>
    </row>
    <row r="27" ht="18" customHeight="1">
      <c r="A27" s="149" t="n"/>
      <c r="B27" s="23" t="n"/>
      <c r="M27" s="19" t="n"/>
      <c r="N27" s="66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8" t="n"/>
    </row>
    <row r="28" ht="18" customHeight="1">
      <c r="A28" s="149" t="n"/>
      <c r="B28" s="23" t="n"/>
      <c r="M28" s="19" t="n"/>
      <c r="N28" s="66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8" t="n"/>
    </row>
    <row r="29" ht="18" customHeight="1">
      <c r="A29" s="149" t="n"/>
      <c r="B29" s="23" t="n"/>
      <c r="M29" s="19" t="n"/>
      <c r="N29" s="66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8" t="n"/>
    </row>
    <row r="30" ht="18" customHeight="1" thickBot="1">
      <c r="A30" s="154" t="n"/>
      <c r="B30" s="24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20" t="n"/>
      <c r="N30" s="69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1" t="n"/>
    </row>
    <row r="31" ht="18" customHeight="1">
      <c r="A31" s="142" t="inlineStr">
        <is>
          <t>Деликатная</t>
        </is>
      </c>
      <c r="B31" s="22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8" t="n"/>
      <c r="N31" s="63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5" t="n"/>
    </row>
    <row r="32" ht="18" customHeight="1">
      <c r="A32" s="149" t="n"/>
      <c r="B32" s="23" t="n"/>
      <c r="M32" s="19" t="n"/>
      <c r="N32" s="66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8" t="n"/>
    </row>
    <row r="33" ht="18" customHeight="1">
      <c r="A33" s="149" t="n"/>
      <c r="B33" s="23" t="n"/>
      <c r="M33" s="19" t="n"/>
      <c r="N33" s="66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8" t="n"/>
    </row>
    <row r="34" ht="18" customHeight="1">
      <c r="A34" s="149" t="n"/>
      <c r="B34" s="23" t="n"/>
      <c r="M34" s="19" t="n"/>
      <c r="N34" s="66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8" t="n"/>
    </row>
    <row r="35" ht="18" customHeight="1" thickBot="1">
      <c r="A35" s="154" t="n"/>
      <c r="B35" s="24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20" t="n"/>
      <c r="N35" s="69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1" t="n"/>
    </row>
    <row r="36" ht="18" customHeight="1">
      <c r="A36" s="123" t="inlineStr">
        <is>
          <t>Спецодежда</t>
        </is>
      </c>
      <c r="B36" s="2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21" t="n"/>
      <c r="N36" s="72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4" t="n"/>
    </row>
    <row r="37" ht="18" customHeight="1">
      <c r="A37" s="149" t="n"/>
      <c r="B37" s="23" t="n"/>
      <c r="M37" s="19" t="n"/>
      <c r="N37" s="66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8" t="n"/>
    </row>
    <row r="38" ht="18" customHeight="1">
      <c r="A38" s="149" t="n"/>
      <c r="B38" s="23" t="n"/>
      <c r="M38" s="19" t="n"/>
      <c r="N38" s="66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8" t="n"/>
    </row>
    <row r="39" ht="18" customHeight="1">
      <c r="A39" s="149" t="n"/>
      <c r="B39" s="23" t="n"/>
      <c r="M39" s="19" t="n"/>
      <c r="N39" s="66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8" t="n"/>
    </row>
    <row r="40" ht="18" customHeight="1" thickBot="1">
      <c r="A40" s="154" t="n"/>
      <c r="B40" s="24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20" t="n"/>
      <c r="N40" s="69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1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XZ8SmSriDEPhtrsUcANHRg==" formatRows="0" sort="0" spinCount="100000" hashValue="FoXNzhKCUUizbVxzVu17vp/FDs6L0lKC3a5Gp2nyH+yvEPMzEiWBLQ88EoWdCMJE4W6Fu4Kbc50omGutdi3imw=="/>
  <mergeCells count="13">
    <mergeCell ref="A2:Y2"/>
    <mergeCell ref="A21:A25"/>
    <mergeCell ref="A5:M5"/>
    <mergeCell ref="A3:A4"/>
    <mergeCell ref="A16:A20"/>
    <mergeCell ref="A1:Y1"/>
    <mergeCell ref="B3:Y3"/>
    <mergeCell ref="A36:A40"/>
    <mergeCell ref="N5:Y5"/>
    <mergeCell ref="A11:A15"/>
    <mergeCell ref="A31:A35"/>
    <mergeCell ref="A26:A30"/>
    <mergeCell ref="A6:A10"/>
  </mergeCells>
  <pageMargins left="0.25" right="0.25" top="0.75" bottom="0.75" header="0.3" footer="0.3"/>
  <pageSetup orientation="landscape" scale="7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8:L43"/>
  <sheetViews>
    <sheetView zoomScale="85" zoomScaleNormal="85" workbookViewId="0">
      <selection activeCell="G38" sqref="G38"/>
    </sheetView>
  </sheetViews>
  <sheetFormatPr baseColWidth="8" defaultRowHeight="15"/>
  <cols>
    <col width="18" customWidth="1" min="3" max="3"/>
    <col width="10.7109375" bestFit="1" customWidth="1" min="4" max="4"/>
    <col width="11.140625" bestFit="1" customWidth="1" min="5" max="5"/>
    <col width="9.42578125" bestFit="1" customWidth="1" min="6" max="6"/>
    <col width="10.42578125" bestFit="1" customWidth="1" min="8" max="8"/>
    <col width="11.42578125" bestFit="1" customWidth="1" min="9" max="9"/>
    <col width="11.7109375" customWidth="1" min="10" max="10"/>
    <col width="10" customWidth="1" min="11" max="11"/>
    <col width="13" customWidth="1" min="12" max="12"/>
  </cols>
  <sheetData>
    <row r="7" ht="15.75" customHeight="1" thickBot="1"/>
    <row r="8" ht="15.75" customHeight="1" thickBot="1">
      <c r="B8" s="135" t="inlineStr">
        <is>
          <t>Статистика</t>
        </is>
      </c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68" t="n"/>
    </row>
    <row r="9" ht="15.75" customHeight="1" thickBot="1">
      <c r="B9" s="135" t="inlineStr">
        <is>
          <t>№</t>
        </is>
      </c>
      <c r="C9" s="136" t="inlineStr">
        <is>
          <t>Дата:</t>
        </is>
      </c>
      <c r="D9" s="136" t="inlineStr">
        <is>
          <t>Вес общий</t>
        </is>
      </c>
      <c r="E9" s="136" t="inlineStr">
        <is>
          <t>EMULSIFIER</t>
        </is>
      </c>
      <c r="F9" s="136" t="inlineStr">
        <is>
          <t>ALKALINE</t>
        </is>
      </c>
      <c r="G9" s="136" t="inlineStr">
        <is>
          <t xml:space="preserve">BLEACH </t>
        </is>
      </c>
      <c r="H9" s="136" t="inlineStr">
        <is>
          <t xml:space="preserve">SOFTENER </t>
        </is>
      </c>
      <c r="I9" s="136" t="inlineStr">
        <is>
          <t>NEUTRLIZER</t>
        </is>
      </c>
      <c r="J9" s="136" t="inlineStr">
        <is>
          <t>Ваниш</t>
        </is>
      </c>
      <c r="K9" s="136" t="inlineStr">
        <is>
          <t>Ленор</t>
        </is>
      </c>
      <c r="L9" s="137" t="inlineStr">
        <is>
          <t>Порошок</t>
        </is>
      </c>
    </row>
    <row r="10" ht="16.5" customHeight="1">
      <c r="B10" s="55" t="n">
        <v>1</v>
      </c>
      <c r="C10" s="61">
        <f>IF('1'!A5="","",'1'!A5)</f>
        <v/>
      </c>
      <c r="D10" s="56">
        <f t="array" ref="D10">IF(INDIRECT("'"&amp;B10&amp;"'!AH40")&gt;0,INDIRECT("'"&amp;B10&amp;"'!AH40"),"")</f>
        <v/>
      </c>
      <c r="E10" s="56">
        <f t="array" ref="E10">IF(INDIRECT("'"&amp;B10&amp;"'!E40")&gt;0,INDIRECT("'"&amp;B10&amp;"'!E40"),"")</f>
        <v/>
      </c>
      <c r="F10" s="56">
        <f t="array" ref="F10">IF(INDIRECT("'"&amp;B10&amp;"'!F40")&gt;0,INDIRECT("'"&amp;B10&amp;"'!F40"),"")</f>
        <v/>
      </c>
      <c r="G10" s="56">
        <f t="array" ref="G10">IF(INDIRECT("'"&amp;B10&amp;"'!G40")&gt;0,INDIRECT("'"&amp;B10&amp;"'!G40"),"")</f>
        <v/>
      </c>
      <c r="H10" s="56">
        <f t="array" ref="H10">IF(INDIRECT("'"&amp;B10&amp;"'!H40")&gt;0,INDIRECT("'"&amp;B10&amp;"'!H40"),"")</f>
        <v/>
      </c>
      <c r="I10" s="56">
        <f t="array" ref="I10">IF(INDIRECT("'"&amp;B10&amp;"'!I40")&gt;0,INDIRECT("'"&amp;B10&amp;"'!I40"),"")</f>
        <v/>
      </c>
      <c r="J10" s="62">
        <f t="array" ref="J10">IF(INDIRECT("'"&amp;B10&amp;"'!AJ40")&gt;0,INDIRECT("'"&amp;B10&amp;"'!AJ40"),"")</f>
        <v/>
      </c>
      <c r="K10" s="56">
        <f t="array" ref="K10">IF(INDIRECT("'"&amp;B10&amp;"'!AL40")&gt;0,INDIRECT("'"&amp;B10&amp;"'!AL40"),"")</f>
        <v/>
      </c>
      <c r="L10" s="57">
        <f t="array" ref="L10">IF(INDIRECT("'"&amp;B10&amp;"'!AN40")&gt;0,INDIRECT("'"&amp;B10&amp;"'!AN40"),"")</f>
        <v/>
      </c>
    </row>
    <row r="11" ht="16.5" customHeight="1">
      <c r="B11" s="119" t="n">
        <v>2</v>
      </c>
      <c r="C11" s="5">
        <f>IF('2'!A5="","",'2'!A5)</f>
        <v/>
      </c>
      <c r="D11" s="2">
        <f t="array" ref="D11">IF(INDIRECT("'"&amp;B11&amp;"'!AH40")&gt;0,INDIRECT("'"&amp;B11&amp;"'!AH40"),"")</f>
        <v/>
      </c>
      <c r="E11" s="2">
        <f t="array" ref="E11">IF(INDIRECT("'"&amp;B11&amp;"'!E40")&gt;0,INDIRECT("'"&amp;B11&amp;"'!E40"),"")</f>
        <v/>
      </c>
      <c r="F11" s="2">
        <f t="array" ref="F11">IF(INDIRECT("'"&amp;B11&amp;"'!F40")&gt;0,INDIRECT("'"&amp;B11&amp;"'!F40"),"")</f>
        <v/>
      </c>
      <c r="G11" s="2">
        <f t="array" ref="G11">IF(INDIRECT("'"&amp;B11&amp;"'!G40")&gt;0,INDIRECT("'"&amp;B11&amp;"'!G40"),"")</f>
        <v/>
      </c>
      <c r="H11" s="2">
        <f t="array" ref="H11">IF(INDIRECT("'"&amp;B11&amp;"'!H40")&gt;0,INDIRECT("'"&amp;B11&amp;"'!H40"),"")</f>
        <v/>
      </c>
      <c r="I11" s="2">
        <f t="array" ref="I11">IF(INDIRECT("'"&amp;B11&amp;"'!I40")&gt;0,INDIRECT("'"&amp;B11&amp;"'!I40"),"")</f>
        <v/>
      </c>
      <c r="J11" s="44">
        <f t="array" ref="J11">IF(INDIRECT("'"&amp;B11&amp;"'!AJ40")&gt;0,INDIRECT("'"&amp;B11&amp;"'!AJ40"),"")</f>
        <v/>
      </c>
      <c r="K11" s="2">
        <f t="array" ref="K11">IF(INDIRECT("'"&amp;B11&amp;"'!AL40")&gt;0,INDIRECT("'"&amp;B11&amp;"'!AL40"),"")</f>
        <v/>
      </c>
      <c r="L11" s="120">
        <f t="array" ref="L11">IF(INDIRECT("'"&amp;B11&amp;"'!AN40")&gt;0,INDIRECT("'"&amp;B11&amp;"'!AN40"),"")</f>
        <v/>
      </c>
    </row>
    <row r="12" ht="16.5" customHeight="1">
      <c r="B12" s="119" t="n">
        <v>3</v>
      </c>
      <c r="C12" s="45">
        <f>IF('3'!A5="","",'3'!A5)</f>
        <v/>
      </c>
      <c r="D12" s="2">
        <f t="array" ref="D12">IF(INDIRECT("'"&amp;B12&amp;"'!AH40")&gt;0,INDIRECT("'"&amp;B12&amp;"'!AH40"),"")</f>
        <v/>
      </c>
      <c r="E12" s="2">
        <f t="array" ref="E12">IF(INDIRECT("'"&amp;B12&amp;"'!E40")&gt;0,INDIRECT("'"&amp;B12&amp;"'!E40"),"")</f>
        <v/>
      </c>
      <c r="F12" s="2">
        <f t="array" ref="F12">IF(INDIRECT("'"&amp;B12&amp;"'!F40")&gt;0,INDIRECT("'"&amp;B12&amp;"'!F40"),"")</f>
        <v/>
      </c>
      <c r="G12" s="2">
        <f t="array" ref="G12">IF(INDIRECT("'"&amp;B12&amp;"'!G40")&gt;0,INDIRECT("'"&amp;B12&amp;"'!G40"),"")</f>
        <v/>
      </c>
      <c r="H12" s="2">
        <f t="array" ref="H12">IF(INDIRECT("'"&amp;B12&amp;"'!H40")&gt;0,INDIRECT("'"&amp;B12&amp;"'!H40"),"")</f>
        <v/>
      </c>
      <c r="I12" s="2">
        <f t="array" ref="I12">IF(INDIRECT("'"&amp;B12&amp;"'!I40")&gt;0,INDIRECT("'"&amp;B12&amp;"'!I40"),"")</f>
        <v/>
      </c>
      <c r="J12" s="44">
        <f t="array" ref="J12">IF(INDIRECT("'"&amp;B12&amp;"'!AJ40")&gt;0,INDIRECT("'"&amp;B12&amp;"'!AJ40"),"")</f>
        <v/>
      </c>
      <c r="K12" s="2">
        <f t="array" ref="K12">IF(INDIRECT("'"&amp;B12&amp;"'!AL40")&gt;0,INDIRECT("'"&amp;B12&amp;"'!AL40"),"")</f>
        <v/>
      </c>
      <c r="L12" s="120">
        <f t="array" ref="L12">IF(INDIRECT("'"&amp;B12&amp;"'!AN40")&gt;0,INDIRECT("'"&amp;B12&amp;"'!AN40"),"")</f>
        <v/>
      </c>
    </row>
    <row r="13" ht="16.5" customHeight="1">
      <c r="B13" s="119" t="n">
        <v>4</v>
      </c>
      <c r="C13" s="45">
        <f>IF('4'!A5="","",'4'!A5)</f>
        <v/>
      </c>
      <c r="D13" s="2">
        <f t="array" ref="D13">IF(INDIRECT("'"&amp;B13&amp;"'!AH40")&gt;0,INDIRECT("'"&amp;B13&amp;"'!AH40"),"")</f>
        <v/>
      </c>
      <c r="E13" s="2">
        <f t="array" ref="E13">IF(INDIRECT("'"&amp;B13&amp;"'!E40")&gt;0,INDIRECT("'"&amp;B13&amp;"'!E40"),"")</f>
        <v/>
      </c>
      <c r="F13" s="2">
        <f t="array" ref="F13">IF(INDIRECT("'"&amp;B13&amp;"'!F40")&gt;0,INDIRECT("'"&amp;B13&amp;"'!F40"),"")</f>
        <v/>
      </c>
      <c r="G13" s="2">
        <f t="array" ref="G13">IF(INDIRECT("'"&amp;B13&amp;"'!G40")&gt;0,INDIRECT("'"&amp;B13&amp;"'!G40"),"")</f>
        <v/>
      </c>
      <c r="H13" s="2">
        <f t="array" ref="H13">IF(INDIRECT("'"&amp;B13&amp;"'!H40")&gt;0,INDIRECT("'"&amp;B13&amp;"'!H40"),"")</f>
        <v/>
      </c>
      <c r="I13" s="2">
        <f t="array" ref="I13">IF(INDIRECT("'"&amp;B13&amp;"'!I40")&gt;0,INDIRECT("'"&amp;B13&amp;"'!I40"),"")</f>
        <v/>
      </c>
      <c r="J13" s="44">
        <f t="array" ref="J13">IF(INDIRECT("'"&amp;B13&amp;"'!AJ40")&gt;0,INDIRECT("'"&amp;B13&amp;"'!AJ40"),"")</f>
        <v/>
      </c>
      <c r="K13" s="2">
        <f t="array" ref="K13">IF(INDIRECT("'"&amp;B13&amp;"'!AL40")&gt;0,INDIRECT("'"&amp;B13&amp;"'!AL40"),"")</f>
        <v/>
      </c>
      <c r="L13" s="120">
        <f t="array" ref="L13">IF(INDIRECT("'"&amp;B13&amp;"'!AN40")&gt;0,INDIRECT("'"&amp;B13&amp;"'!AN40"),"")</f>
        <v/>
      </c>
    </row>
    <row r="14" ht="16.5" customHeight="1">
      <c r="B14" s="119" t="n">
        <v>5</v>
      </c>
      <c r="C14" s="45">
        <f>IF('5'!A5="","",'5'!A5)</f>
        <v/>
      </c>
      <c r="D14" s="2">
        <f t="array" ref="D14">IF(INDIRECT("'"&amp;B14&amp;"'!AH40")&gt;0,INDIRECT("'"&amp;B14&amp;"'!AH40"),"")</f>
        <v/>
      </c>
      <c r="E14" s="2">
        <f t="array" ref="E14">IF(INDIRECT("'"&amp;B14&amp;"'!E40")&gt;0,INDIRECT("'"&amp;B14&amp;"'!E40"),"")</f>
        <v/>
      </c>
      <c r="F14" s="2">
        <f t="array" ref="F14">IF(INDIRECT("'"&amp;B14&amp;"'!F40")&gt;0,INDIRECT("'"&amp;B14&amp;"'!F40"),"")</f>
        <v/>
      </c>
      <c r="G14" s="2">
        <f t="array" ref="G14">IF(INDIRECT("'"&amp;B14&amp;"'!G40")&gt;0,INDIRECT("'"&amp;B14&amp;"'!G40"),"")</f>
        <v/>
      </c>
      <c r="H14" s="2">
        <f t="array" ref="H14">IF(INDIRECT("'"&amp;B14&amp;"'!H40")&gt;0,INDIRECT("'"&amp;B14&amp;"'!H40"),"")</f>
        <v/>
      </c>
      <c r="I14" s="2">
        <f t="array" ref="I14">IF(INDIRECT("'"&amp;B14&amp;"'!I40")&gt;0,INDIRECT("'"&amp;B14&amp;"'!I40"),"")</f>
        <v/>
      </c>
      <c r="J14" s="44">
        <f t="array" ref="J14">IF(INDIRECT("'"&amp;B14&amp;"'!AJ40")&gt;0,INDIRECT("'"&amp;B14&amp;"'!AJ40"),"")</f>
        <v/>
      </c>
      <c r="K14" s="2">
        <f t="array" ref="K14">IF(INDIRECT("'"&amp;B14&amp;"'!AL40")&gt;0,INDIRECT("'"&amp;B14&amp;"'!AL40"),"")</f>
        <v/>
      </c>
      <c r="L14" s="120">
        <f t="array" ref="L14">IF(INDIRECT("'"&amp;B14&amp;"'!AN40")&gt;0,INDIRECT("'"&amp;B14&amp;"'!AN40"),"")</f>
        <v/>
      </c>
    </row>
    <row r="15" ht="16.5" customHeight="1">
      <c r="B15" s="119" t="n">
        <v>6</v>
      </c>
      <c r="C15" s="45">
        <f>IF('6'!A5="","",'6'!A5)</f>
        <v/>
      </c>
      <c r="D15" s="2">
        <f t="array" ref="D15">IF(INDIRECT("'"&amp;B15&amp;"'!AH40")&gt;0,INDIRECT("'"&amp;B15&amp;"'!AH40"),"")</f>
        <v/>
      </c>
      <c r="E15" s="2">
        <f t="array" ref="E15">IF(INDIRECT("'"&amp;B15&amp;"'!E40")&gt;0,INDIRECT("'"&amp;B15&amp;"'!E40"),"")</f>
        <v/>
      </c>
      <c r="F15" s="2">
        <f t="array" ref="F15">IF(INDIRECT("'"&amp;B15&amp;"'!F40")&gt;0,INDIRECT("'"&amp;B15&amp;"'!F40"),"")</f>
        <v/>
      </c>
      <c r="G15" s="2">
        <f t="array" ref="G15">IF(INDIRECT("'"&amp;B15&amp;"'!G40")&gt;0,INDIRECT("'"&amp;B15&amp;"'!G40"),"")</f>
        <v/>
      </c>
      <c r="H15" s="2">
        <f t="array" ref="H15">IF(INDIRECT("'"&amp;B15&amp;"'!H40")&gt;0,INDIRECT("'"&amp;B15&amp;"'!H40"),"")</f>
        <v/>
      </c>
      <c r="I15" s="2">
        <f t="array" ref="I15">IF(INDIRECT("'"&amp;B15&amp;"'!I40")&gt;0,INDIRECT("'"&amp;B15&amp;"'!I40"),"")</f>
        <v/>
      </c>
      <c r="J15" s="44">
        <f t="array" ref="J15">IF(INDIRECT("'"&amp;B15&amp;"'!AJ40")&gt;0,INDIRECT("'"&amp;B15&amp;"'!AJ40"),"")</f>
        <v/>
      </c>
      <c r="K15" s="2">
        <f t="array" ref="K15">IF(INDIRECT("'"&amp;B15&amp;"'!AL40")&gt;0,INDIRECT("'"&amp;B15&amp;"'!AL40"),"")</f>
        <v/>
      </c>
      <c r="L15" s="120">
        <f t="array" ref="L15">IF(INDIRECT("'"&amp;B15&amp;"'!AN40")&gt;0,INDIRECT("'"&amp;B15&amp;"'!AN40"),"")</f>
        <v/>
      </c>
    </row>
    <row r="16" ht="16.5" customHeight="1">
      <c r="B16" s="119" t="n">
        <v>7</v>
      </c>
      <c r="C16" s="49">
        <f>IF('7'!A5="","",'7'!A5)</f>
        <v/>
      </c>
      <c r="D16" s="2">
        <f t="array" ref="D16">IF(INDIRECT("'"&amp;B16&amp;"'!AH40")&gt;0,INDIRECT("'"&amp;B16&amp;"'!AH40"),"")</f>
        <v/>
      </c>
      <c r="E16" s="2">
        <f t="array" ref="E16">IF(INDIRECT("'"&amp;B16&amp;"'!E40")&gt;0,INDIRECT("'"&amp;B16&amp;"'!E40"),"")</f>
        <v/>
      </c>
      <c r="F16" s="2">
        <f t="array" ref="F16">IF(INDIRECT("'"&amp;B16&amp;"'!F40")&gt;0,INDIRECT("'"&amp;B16&amp;"'!F40"),"")</f>
        <v/>
      </c>
      <c r="G16" s="2">
        <f t="array" ref="G16">IF(INDIRECT("'"&amp;B16&amp;"'!G40")&gt;0,INDIRECT("'"&amp;B16&amp;"'!G40"),"")</f>
        <v/>
      </c>
      <c r="H16" s="2">
        <f t="array" ref="H16">IF(INDIRECT("'"&amp;B16&amp;"'!H40")&gt;0,INDIRECT("'"&amp;B16&amp;"'!H40"),"")</f>
        <v/>
      </c>
      <c r="I16" s="2">
        <f t="array" ref="I16">IF(INDIRECT("'"&amp;B16&amp;"'!I40")&gt;0,INDIRECT("'"&amp;B16&amp;"'!I40"),"")</f>
        <v/>
      </c>
      <c r="J16" s="44">
        <f t="array" ref="J16">IF(INDIRECT("'"&amp;B16&amp;"'!AJ40")&gt;0,INDIRECT("'"&amp;B16&amp;"'!AJ40"),"")</f>
        <v/>
      </c>
      <c r="K16" s="2">
        <f t="array" ref="K16">IF(INDIRECT("'"&amp;B16&amp;"'!AL40")&gt;0,INDIRECT("'"&amp;B16&amp;"'!AL40"),"")</f>
        <v/>
      </c>
      <c r="L16" s="120">
        <f t="array" ref="L16">IF(INDIRECT("'"&amp;B16&amp;"'!AN40")&gt;0,INDIRECT("'"&amp;B16&amp;"'!AN40"),"")</f>
        <v/>
      </c>
    </row>
    <row r="17" ht="16.5" customHeight="1">
      <c r="B17" s="119" t="n">
        <v>8</v>
      </c>
      <c r="C17" s="45">
        <f>IF('8'!A5="","",'8'!A5)</f>
        <v/>
      </c>
      <c r="D17" s="2">
        <f t="array" ref="D17">IF(INDIRECT("'"&amp;B17&amp;"'!AH40")&gt;0,INDIRECT("'"&amp;B17&amp;"'!AH40"),"")</f>
        <v/>
      </c>
      <c r="E17" s="2">
        <f t="array" ref="E17">IF(INDIRECT("'"&amp;B17&amp;"'!E40")&gt;0,INDIRECT("'"&amp;B17&amp;"'!E40"),"")</f>
        <v/>
      </c>
      <c r="F17" s="2">
        <f t="array" ref="F17">IF(INDIRECT("'"&amp;B17&amp;"'!F40")&gt;0,INDIRECT("'"&amp;B17&amp;"'!F40"),"")</f>
        <v/>
      </c>
      <c r="G17" s="2">
        <f t="array" ref="G17">IF(INDIRECT("'"&amp;B17&amp;"'!G40")&gt;0,INDIRECT("'"&amp;B17&amp;"'!G40"),"")</f>
        <v/>
      </c>
      <c r="H17" s="2">
        <f t="array" ref="H17">IF(INDIRECT("'"&amp;B17&amp;"'!H40")&gt;0,INDIRECT("'"&amp;B17&amp;"'!H40"),"")</f>
        <v/>
      </c>
      <c r="I17" s="2">
        <f t="array" ref="I17">IF(INDIRECT("'"&amp;B17&amp;"'!I40")&gt;0,INDIRECT("'"&amp;B17&amp;"'!I40"),"")</f>
        <v/>
      </c>
      <c r="J17" s="44">
        <f t="array" ref="J17">IF(INDIRECT("'"&amp;B17&amp;"'!AJ40")&gt;0,INDIRECT("'"&amp;B17&amp;"'!AJ40"),"")</f>
        <v/>
      </c>
      <c r="K17" s="2">
        <f t="array" ref="K17">IF(INDIRECT("'"&amp;B17&amp;"'!AL40")&gt;0,INDIRECT("'"&amp;B17&amp;"'!AL40"),"")</f>
        <v/>
      </c>
      <c r="L17" s="120">
        <f t="array" ref="L17">IF(INDIRECT("'"&amp;B17&amp;"'!AN40")&gt;0,INDIRECT("'"&amp;B17&amp;"'!AN40"),"")</f>
        <v/>
      </c>
    </row>
    <row r="18" ht="16.5" customHeight="1">
      <c r="B18" s="119" t="n">
        <v>9</v>
      </c>
      <c r="C18" s="45">
        <f>IF('9'!A5="","",'9'!A5)</f>
        <v/>
      </c>
      <c r="D18" s="2">
        <f t="array" ref="D18">IF(INDIRECT("'"&amp;B18&amp;"'!AH40")&gt;0,INDIRECT("'"&amp;B18&amp;"'!AH40"),"")</f>
        <v/>
      </c>
      <c r="E18" s="2">
        <f t="array" ref="E18">IF(INDIRECT("'"&amp;B18&amp;"'!E40")&gt;0,INDIRECT("'"&amp;B18&amp;"'!E40"),"")</f>
        <v/>
      </c>
      <c r="F18" s="2">
        <f t="array" ref="F18">IF(INDIRECT("'"&amp;B18&amp;"'!F40")&gt;0,INDIRECT("'"&amp;B18&amp;"'!F40"),"")</f>
        <v/>
      </c>
      <c r="G18" s="2">
        <f t="array" ref="G18">IF(INDIRECT("'"&amp;B18&amp;"'!G40")&gt;0,INDIRECT("'"&amp;B18&amp;"'!G40"),"")</f>
        <v/>
      </c>
      <c r="H18" s="2">
        <f t="array" ref="H18">IF(INDIRECT("'"&amp;B18&amp;"'!H40")&gt;0,INDIRECT("'"&amp;B18&amp;"'!H40"),"")</f>
        <v/>
      </c>
      <c r="I18" s="2">
        <f t="array" ref="I18">IF(INDIRECT("'"&amp;B18&amp;"'!I40")&gt;0,INDIRECT("'"&amp;B18&amp;"'!I40"),"")</f>
        <v/>
      </c>
      <c r="J18" s="44">
        <f t="array" ref="J18">IF(INDIRECT("'"&amp;B18&amp;"'!AJ40")&gt;0,INDIRECT("'"&amp;B18&amp;"'!AJ40"),"")</f>
        <v/>
      </c>
      <c r="K18" s="2">
        <f t="array" ref="K18">IF(INDIRECT("'"&amp;B18&amp;"'!AL40")&gt;0,INDIRECT("'"&amp;B18&amp;"'!AL40"),"")</f>
        <v/>
      </c>
      <c r="L18" s="120">
        <f t="array" ref="L18">IF(INDIRECT("'"&amp;B18&amp;"'!AN40")&gt;0,INDIRECT("'"&amp;B18&amp;"'!AN40"),"")</f>
        <v/>
      </c>
    </row>
    <row r="19" ht="16.5" customHeight="1">
      <c r="B19" s="119" t="n">
        <v>10</v>
      </c>
      <c r="C19" s="45">
        <f>IF('10'!A5="","",'10'!A5)</f>
        <v/>
      </c>
      <c r="D19" s="2">
        <f t="array" ref="D19">IF(INDIRECT("'"&amp;B19&amp;"'!AH40")&gt;0,INDIRECT("'"&amp;B19&amp;"'!AH40"),"")</f>
        <v/>
      </c>
      <c r="E19" s="2">
        <f t="array" ref="E19">IF(INDIRECT("'"&amp;B19&amp;"'!E40")&gt;0,INDIRECT("'"&amp;B19&amp;"'!E40"),"")</f>
        <v/>
      </c>
      <c r="F19" s="2">
        <f t="array" ref="F19">IF(INDIRECT("'"&amp;B19&amp;"'!F40")&gt;0,INDIRECT("'"&amp;B19&amp;"'!F40"),"")</f>
        <v/>
      </c>
      <c r="G19" s="2">
        <f t="array" ref="G19">IF(INDIRECT("'"&amp;B19&amp;"'!G40")&gt;0,INDIRECT("'"&amp;B19&amp;"'!G40"),"")</f>
        <v/>
      </c>
      <c r="H19" s="2">
        <f t="array" ref="H19">IF(INDIRECT("'"&amp;B19&amp;"'!H40")&gt;0,INDIRECT("'"&amp;B19&amp;"'!H40"),"")</f>
        <v/>
      </c>
      <c r="I19" s="2">
        <f t="array" ref="I19">IF(INDIRECT("'"&amp;B19&amp;"'!I40")&gt;0,INDIRECT("'"&amp;B19&amp;"'!I40"),"")</f>
        <v/>
      </c>
      <c r="J19" s="44">
        <f t="array" ref="J19">IF(INDIRECT("'"&amp;B19&amp;"'!AJ40")&gt;0,INDIRECT("'"&amp;B19&amp;"'!AJ40"),"")</f>
        <v/>
      </c>
      <c r="K19" s="2">
        <f t="array" ref="K19">IF(INDIRECT("'"&amp;B19&amp;"'!AL40")&gt;0,INDIRECT("'"&amp;B19&amp;"'!AL40"),"")</f>
        <v/>
      </c>
      <c r="L19" s="120">
        <f t="array" ref="L19">IF(INDIRECT("'"&amp;B19&amp;"'!AN40")&gt;0,INDIRECT("'"&amp;B19&amp;"'!AN40"),"")</f>
        <v/>
      </c>
    </row>
    <row r="20" ht="16.5" customHeight="1">
      <c r="B20" s="119" t="n">
        <v>11</v>
      </c>
      <c r="C20" s="45">
        <f>IF('11'!A5="","",'11'!A5)</f>
        <v/>
      </c>
      <c r="D20" s="2">
        <f t="array" ref="D20">IF(INDIRECT("'"&amp;B20&amp;"'!AH40")&gt;0,INDIRECT("'"&amp;B20&amp;"'!AH40"),"")</f>
        <v/>
      </c>
      <c r="E20" s="2">
        <f t="array" ref="E20">IF(INDIRECT("'"&amp;B20&amp;"'!E40")&gt;0,INDIRECT("'"&amp;B20&amp;"'!E40"),"")</f>
        <v/>
      </c>
      <c r="F20" s="2">
        <f t="array" ref="F20">IF(INDIRECT("'"&amp;B20&amp;"'!F40")&gt;0,INDIRECT("'"&amp;B20&amp;"'!F40"),"")</f>
        <v/>
      </c>
      <c r="G20" s="2">
        <f t="array" ref="G20">IF(INDIRECT("'"&amp;B20&amp;"'!G40")&gt;0,INDIRECT("'"&amp;B20&amp;"'!G40"),"")</f>
        <v/>
      </c>
      <c r="H20" s="2">
        <f t="array" ref="H20">IF(INDIRECT("'"&amp;B20&amp;"'!H40")&gt;0,INDIRECT("'"&amp;B20&amp;"'!H40"),"")</f>
        <v/>
      </c>
      <c r="I20" s="2">
        <f t="array" ref="I20">IF(INDIRECT("'"&amp;B20&amp;"'!I40")&gt;0,INDIRECT("'"&amp;B20&amp;"'!I40"),"")</f>
        <v/>
      </c>
      <c r="J20" s="44">
        <f t="array" ref="J20">IF(INDIRECT("'"&amp;B20&amp;"'!AJ40")&gt;0,INDIRECT("'"&amp;B20&amp;"'!AJ40"),"")</f>
        <v/>
      </c>
      <c r="K20" s="2">
        <f t="array" ref="K20">IF(INDIRECT("'"&amp;B20&amp;"'!AL40")&gt;0,INDIRECT("'"&amp;B20&amp;"'!AL40"),"")</f>
        <v/>
      </c>
      <c r="L20" s="120">
        <f t="array" ref="L20">IF(INDIRECT("'"&amp;B20&amp;"'!AN40")&gt;0,INDIRECT("'"&amp;B20&amp;"'!AN40"),"")</f>
        <v/>
      </c>
    </row>
    <row r="21" ht="16.5" customHeight="1">
      <c r="B21" s="119" t="n">
        <v>12</v>
      </c>
      <c r="C21" s="45">
        <f>IF('12'!A5="","",'12'!A5)</f>
        <v/>
      </c>
      <c r="D21" s="2">
        <f t="array" ref="D21">IF(INDIRECT("'"&amp;B21&amp;"'!AH40")&gt;0,INDIRECT("'"&amp;B21&amp;"'!AH40"),"")</f>
        <v/>
      </c>
      <c r="E21" s="2">
        <f t="array" ref="E21">IF(INDIRECT("'"&amp;B21&amp;"'!E40")&gt;0,INDIRECT("'"&amp;B21&amp;"'!E40"),"")</f>
        <v/>
      </c>
      <c r="F21" s="2">
        <f t="array" ref="F21">IF(INDIRECT("'"&amp;B21&amp;"'!F40")&gt;0,INDIRECT("'"&amp;B21&amp;"'!F40"),"")</f>
        <v/>
      </c>
      <c r="G21" s="2">
        <f t="array" ref="G21">IF(INDIRECT("'"&amp;B21&amp;"'!G40")&gt;0,INDIRECT("'"&amp;B21&amp;"'!G40"),"")</f>
        <v/>
      </c>
      <c r="H21" s="2">
        <f t="array" ref="H21">IF(INDIRECT("'"&amp;B21&amp;"'!H40")&gt;0,INDIRECT("'"&amp;B21&amp;"'!H40"),"")</f>
        <v/>
      </c>
      <c r="I21" s="2">
        <f t="array" ref="I21">IF(INDIRECT("'"&amp;B21&amp;"'!I40")&gt;0,INDIRECT("'"&amp;B21&amp;"'!I40"),"")</f>
        <v/>
      </c>
      <c r="J21" s="44">
        <f t="array" ref="J21">IF(INDIRECT("'"&amp;B21&amp;"'!AJ40")&gt;0,INDIRECT("'"&amp;B21&amp;"'!AJ40"),"")</f>
        <v/>
      </c>
      <c r="K21" s="2">
        <f t="array" ref="K21">IF(INDIRECT("'"&amp;B21&amp;"'!AL40")&gt;0,INDIRECT("'"&amp;B21&amp;"'!AL40"),"")</f>
        <v/>
      </c>
      <c r="L21" s="120">
        <f t="array" ref="L21">IF(INDIRECT("'"&amp;B21&amp;"'!AN40")&gt;0,INDIRECT("'"&amp;B21&amp;"'!AN40"),"")</f>
        <v/>
      </c>
    </row>
    <row r="22" ht="16.5" customHeight="1">
      <c r="B22" s="119" t="n">
        <v>13</v>
      </c>
      <c r="C22" s="45">
        <f>IF('13'!A5="","",'13'!A5)</f>
        <v/>
      </c>
      <c r="D22" s="2">
        <f t="array" ref="D22">IF(INDIRECT("'"&amp;B22&amp;"'!AH40")&gt;0,INDIRECT("'"&amp;B22&amp;"'!AH40"),"")</f>
        <v/>
      </c>
      <c r="E22" s="2">
        <f t="array" ref="E22">IF(INDIRECT("'"&amp;B22&amp;"'!E40")&gt;0,INDIRECT("'"&amp;B22&amp;"'!E40"),"")</f>
        <v/>
      </c>
      <c r="F22" s="2">
        <f t="array" ref="F22">IF(INDIRECT("'"&amp;B22&amp;"'!F40")&gt;0,INDIRECT("'"&amp;B22&amp;"'!F40"),"")</f>
        <v/>
      </c>
      <c r="G22" s="2">
        <f t="array" ref="G22">IF(INDIRECT("'"&amp;B22&amp;"'!G40")&gt;0,INDIRECT("'"&amp;B22&amp;"'!G40"),"")</f>
        <v/>
      </c>
      <c r="H22" s="2">
        <f t="array" ref="H22">IF(INDIRECT("'"&amp;B22&amp;"'!H40")&gt;0,INDIRECT("'"&amp;B22&amp;"'!H40"),"")</f>
        <v/>
      </c>
      <c r="I22" s="2">
        <f t="array" ref="I22">IF(INDIRECT("'"&amp;B22&amp;"'!I40")&gt;0,INDIRECT("'"&amp;B22&amp;"'!I40"),"")</f>
        <v/>
      </c>
      <c r="J22" s="44">
        <f t="array" ref="J22">IF(INDIRECT("'"&amp;B22&amp;"'!AJ40")&gt;0,INDIRECT("'"&amp;B22&amp;"'!AJ40"),"")</f>
        <v/>
      </c>
      <c r="K22" s="2">
        <f t="array" ref="K22">IF(INDIRECT("'"&amp;B22&amp;"'!AL40")&gt;0,INDIRECT("'"&amp;B22&amp;"'!AL40"),"")</f>
        <v/>
      </c>
      <c r="L22" s="120">
        <f t="array" ref="L22">IF(INDIRECT("'"&amp;B22&amp;"'!AN40")&gt;0,INDIRECT("'"&amp;B22&amp;"'!AN40"),"")</f>
        <v/>
      </c>
    </row>
    <row r="23" ht="16.5" customHeight="1">
      <c r="B23" s="119" t="n">
        <v>14</v>
      </c>
      <c r="C23" s="45">
        <f>IF('14'!A5="","",'14'!A5)</f>
        <v/>
      </c>
      <c r="D23" s="2">
        <f t="array" ref="D23">IF(INDIRECT("'"&amp;B23&amp;"'!AH40")&gt;0,INDIRECT("'"&amp;B23&amp;"'!AH40"),"")</f>
        <v/>
      </c>
      <c r="E23" s="2">
        <f t="array" ref="E23">IF(INDIRECT("'"&amp;B23&amp;"'!E40")&gt;0,INDIRECT("'"&amp;B23&amp;"'!E40"),"")</f>
        <v/>
      </c>
      <c r="F23" s="2">
        <f t="array" ref="F23">IF(INDIRECT("'"&amp;B23&amp;"'!F40")&gt;0,INDIRECT("'"&amp;B23&amp;"'!F40"),"")</f>
        <v/>
      </c>
      <c r="G23" s="2">
        <f t="array" ref="G23">IF(INDIRECT("'"&amp;B23&amp;"'!G40")&gt;0,INDIRECT("'"&amp;B23&amp;"'!G40"),"")</f>
        <v/>
      </c>
      <c r="H23" s="2">
        <f t="array" ref="H23">IF(INDIRECT("'"&amp;B23&amp;"'!H40")&gt;0,INDIRECT("'"&amp;B23&amp;"'!H40"),"")</f>
        <v/>
      </c>
      <c r="I23" s="2">
        <f t="array" ref="I23">IF(INDIRECT("'"&amp;B23&amp;"'!I40")&gt;0,INDIRECT("'"&amp;B23&amp;"'!I40"),"")</f>
        <v/>
      </c>
      <c r="J23" s="44">
        <f t="array" ref="J23">IF(INDIRECT("'"&amp;B23&amp;"'!AJ40")&gt;0,INDIRECT("'"&amp;B23&amp;"'!AJ40"),"")</f>
        <v/>
      </c>
      <c r="K23" s="2">
        <f t="array" ref="K23">IF(INDIRECT("'"&amp;B23&amp;"'!AL40")&gt;0,INDIRECT("'"&amp;B23&amp;"'!AL40"),"")</f>
        <v/>
      </c>
      <c r="L23" s="120">
        <f t="array" ref="L23">IF(INDIRECT("'"&amp;B23&amp;"'!AN40")&gt;0,INDIRECT("'"&amp;B23&amp;"'!AN40"),"")</f>
        <v/>
      </c>
    </row>
    <row r="24" ht="16.5" customHeight="1">
      <c r="B24" s="119" t="n">
        <v>15</v>
      </c>
      <c r="C24" s="49">
        <f>IF('15'!A5="","",'15'!A5)</f>
        <v/>
      </c>
      <c r="D24" s="2">
        <f t="array" ref="D24">IF(INDIRECT("'"&amp;B24&amp;"'!AH40")&gt;0,INDIRECT("'"&amp;B24&amp;"'!AH40"),"")</f>
        <v/>
      </c>
      <c r="E24" s="2">
        <f t="array" ref="E24">IF(INDIRECT("'"&amp;B24&amp;"'!E40")&gt;0,INDIRECT("'"&amp;B24&amp;"'!E40"),"")</f>
        <v/>
      </c>
      <c r="F24" s="2">
        <f t="array" ref="F24">IF(INDIRECT("'"&amp;B24&amp;"'!F40")&gt;0,INDIRECT("'"&amp;B24&amp;"'!F40"),"")</f>
        <v/>
      </c>
      <c r="G24" s="2">
        <f t="array" ref="G24">IF(INDIRECT("'"&amp;B24&amp;"'!G40")&gt;0,INDIRECT("'"&amp;B24&amp;"'!G40"),"")</f>
        <v/>
      </c>
      <c r="H24" s="2">
        <f t="array" ref="H24">IF(INDIRECT("'"&amp;B24&amp;"'!H40")&gt;0,INDIRECT("'"&amp;B24&amp;"'!H40"),"")</f>
        <v/>
      </c>
      <c r="I24" s="2">
        <f t="array" ref="I24">IF(INDIRECT("'"&amp;B24&amp;"'!I40")&gt;0,INDIRECT("'"&amp;B24&amp;"'!I40"),"")</f>
        <v/>
      </c>
      <c r="J24" s="44">
        <f t="array" ref="J24">IF(INDIRECT("'"&amp;B24&amp;"'!AJ40")&gt;0,INDIRECT("'"&amp;B24&amp;"'!AJ40"),"")</f>
        <v/>
      </c>
      <c r="K24" s="2">
        <f t="array" ref="K24">IF(INDIRECT("'"&amp;B24&amp;"'!AL40")&gt;0,INDIRECT("'"&amp;B24&amp;"'!AL40"),"")</f>
        <v/>
      </c>
      <c r="L24" s="120">
        <f t="array" ref="L24">IF(INDIRECT("'"&amp;B24&amp;"'!AN40")&gt;0,INDIRECT("'"&amp;B24&amp;"'!AN40"),"")</f>
        <v/>
      </c>
    </row>
    <row r="25" ht="16.5" customHeight="1">
      <c r="B25" s="119" t="n">
        <v>16</v>
      </c>
      <c r="C25" s="46">
        <f>IF('16'!A5="","",'16'!A5)</f>
        <v/>
      </c>
      <c r="D25" s="2">
        <f t="array" ref="D25">IF(INDIRECT("'"&amp;B25&amp;"'!AH40")&gt;0,INDIRECT("'"&amp;B25&amp;"'!AH40"),"")</f>
        <v/>
      </c>
      <c r="E25" s="2">
        <f t="array" ref="E25">IF(INDIRECT("'"&amp;B25&amp;"'!E40")&gt;0,INDIRECT("'"&amp;B25&amp;"'!E40"),"")</f>
        <v/>
      </c>
      <c r="F25" s="2">
        <f t="array" ref="F25">IF(INDIRECT("'"&amp;B25&amp;"'!F40")&gt;0,INDIRECT("'"&amp;B25&amp;"'!F40"),"")</f>
        <v/>
      </c>
      <c r="G25" s="2">
        <f t="array" ref="G25">IF(INDIRECT("'"&amp;B25&amp;"'!G40")&gt;0,INDIRECT("'"&amp;B25&amp;"'!G40"),"")</f>
        <v/>
      </c>
      <c r="H25" s="2">
        <f t="array" ref="H25">IF(INDIRECT("'"&amp;B25&amp;"'!H40")&gt;0,INDIRECT("'"&amp;B25&amp;"'!H40"),"")</f>
        <v/>
      </c>
      <c r="I25" s="2">
        <f t="array" ref="I25">IF(INDIRECT("'"&amp;B25&amp;"'!I40")&gt;0,INDIRECT("'"&amp;B25&amp;"'!I40"),"")</f>
        <v/>
      </c>
      <c r="J25" s="44">
        <f t="array" ref="J25">IF(INDIRECT("'"&amp;B25&amp;"'!AJ40")&gt;0,INDIRECT("'"&amp;B25&amp;"'!AJ40"),"")</f>
        <v/>
      </c>
      <c r="K25" s="2">
        <f t="array" ref="K25">IF(INDIRECT("'"&amp;B25&amp;"'!AL40")&gt;0,INDIRECT("'"&amp;B25&amp;"'!AL40"),"")</f>
        <v/>
      </c>
      <c r="L25" s="120">
        <f t="array" ref="L25">IF(INDIRECT("'"&amp;B25&amp;"'!AN40")&gt;0,INDIRECT("'"&amp;B25&amp;"'!AN40"),"")</f>
        <v/>
      </c>
    </row>
    <row r="26" ht="16.5" customHeight="1">
      <c r="B26" s="119" t="n">
        <v>17</v>
      </c>
      <c r="C26" s="45">
        <f>IF('17'!A5="","",'17'!A5)</f>
        <v/>
      </c>
      <c r="D26" s="2">
        <f t="array" ref="D26">IF(INDIRECT("'"&amp;B26&amp;"'!AH40")&gt;0,INDIRECT("'"&amp;B26&amp;"'!AH40"),"")</f>
        <v/>
      </c>
      <c r="E26" s="2">
        <f t="array" ref="E26">IF(INDIRECT("'"&amp;B26&amp;"'!E40")&gt;0,INDIRECT("'"&amp;B26&amp;"'!E40"),"")</f>
        <v/>
      </c>
      <c r="F26" s="2">
        <f t="array" ref="F26">IF(INDIRECT("'"&amp;B26&amp;"'!F40")&gt;0,INDIRECT("'"&amp;B26&amp;"'!F40"),"")</f>
        <v/>
      </c>
      <c r="G26" s="2">
        <f t="array" ref="G26">IF(INDIRECT("'"&amp;B26&amp;"'!G40")&gt;0,INDIRECT("'"&amp;B26&amp;"'!G40"),"")</f>
        <v/>
      </c>
      <c r="H26" s="2">
        <f t="array" ref="H26">IF(INDIRECT("'"&amp;B26&amp;"'!H40")&gt;0,INDIRECT("'"&amp;B26&amp;"'!H40"),"")</f>
        <v/>
      </c>
      <c r="I26" s="2">
        <f t="array" ref="I26">IF(INDIRECT("'"&amp;B26&amp;"'!I40")&gt;0,INDIRECT("'"&amp;B26&amp;"'!I40"),"")</f>
        <v/>
      </c>
      <c r="J26" s="44">
        <f t="array" ref="J26">IF(INDIRECT("'"&amp;B26&amp;"'!AJ40")&gt;0,INDIRECT("'"&amp;B26&amp;"'!AJ40"),"")</f>
        <v/>
      </c>
      <c r="K26" s="2">
        <f t="array" ref="K26">IF(INDIRECT("'"&amp;B26&amp;"'!AL40")&gt;0,INDIRECT("'"&amp;B26&amp;"'!AL40"),"")</f>
        <v/>
      </c>
      <c r="L26" s="120">
        <f t="array" ref="L26">IF(INDIRECT("'"&amp;B26&amp;"'!AN40")&gt;0,INDIRECT("'"&amp;B26&amp;"'!AN40"),"")</f>
        <v/>
      </c>
    </row>
    <row r="27" ht="16.5" customHeight="1">
      <c r="B27" s="119" t="n">
        <v>18</v>
      </c>
      <c r="C27" s="45">
        <f>IF('18'!A5="","",'18'!A5)</f>
        <v/>
      </c>
      <c r="D27" s="2">
        <f t="array" ref="D27">IF(INDIRECT("'"&amp;B27&amp;"'!AH40")&gt;0,INDIRECT("'"&amp;B27&amp;"'!AH40"),"")</f>
        <v/>
      </c>
      <c r="E27" s="2">
        <f t="array" ref="E27">IF(INDIRECT("'"&amp;B27&amp;"'!E40")&gt;0,INDIRECT("'"&amp;B27&amp;"'!E40"),"")</f>
        <v/>
      </c>
      <c r="F27" s="2">
        <f t="array" ref="F27">IF(INDIRECT("'"&amp;B27&amp;"'!F40")&gt;0,INDIRECT("'"&amp;B27&amp;"'!F40"),"")</f>
        <v/>
      </c>
      <c r="G27" s="2">
        <f t="array" ref="G27">IF(INDIRECT("'"&amp;B27&amp;"'!G40")&gt;0,INDIRECT("'"&amp;B27&amp;"'!G40"),"")</f>
        <v/>
      </c>
      <c r="H27" s="2">
        <f t="array" ref="H27">IF(INDIRECT("'"&amp;B27&amp;"'!H40")&gt;0,INDIRECT("'"&amp;B27&amp;"'!H40"),"")</f>
        <v/>
      </c>
      <c r="I27" s="2">
        <f t="array" ref="I27">IF(INDIRECT("'"&amp;B27&amp;"'!I40")&gt;0,INDIRECT("'"&amp;B27&amp;"'!I40"),"")</f>
        <v/>
      </c>
      <c r="J27" s="44">
        <f t="array" ref="J27">IF(INDIRECT("'"&amp;B27&amp;"'!AJ40")&gt;0,INDIRECT("'"&amp;B27&amp;"'!AJ40"),"")</f>
        <v/>
      </c>
      <c r="K27" s="2">
        <f t="array" ref="K27">IF(INDIRECT("'"&amp;B27&amp;"'!AL40")&gt;0,INDIRECT("'"&amp;B27&amp;"'!AL40"),"")</f>
        <v/>
      </c>
      <c r="L27" s="120">
        <f t="array" ref="L27">IF(INDIRECT("'"&amp;B27&amp;"'!AN40")&gt;0,INDIRECT("'"&amp;B27&amp;"'!AN40"),"")</f>
        <v/>
      </c>
    </row>
    <row r="28" ht="16.5" customHeight="1">
      <c r="B28" s="119" t="n">
        <v>19</v>
      </c>
      <c r="C28" s="45">
        <f>IF('19'!A5="","",'19'!A5)</f>
        <v/>
      </c>
      <c r="D28" s="2">
        <f t="array" ref="D28">IF(INDIRECT("'"&amp;B28&amp;"'!AH40")&gt;0,INDIRECT("'"&amp;B28&amp;"'!AH40"),"")</f>
        <v/>
      </c>
      <c r="E28" s="2">
        <f t="array" ref="E28">IF(INDIRECT("'"&amp;B28&amp;"'!E40")&gt;0,INDIRECT("'"&amp;B28&amp;"'!E40"),"")</f>
        <v/>
      </c>
      <c r="F28" s="2">
        <f t="array" ref="F28">IF(INDIRECT("'"&amp;B28&amp;"'!F40")&gt;0,INDIRECT("'"&amp;B28&amp;"'!F40"),"")</f>
        <v/>
      </c>
      <c r="G28" s="2">
        <f t="array" ref="G28">IF(INDIRECT("'"&amp;B28&amp;"'!G40")&gt;0,INDIRECT("'"&amp;B28&amp;"'!G40"),"")</f>
        <v/>
      </c>
      <c r="H28" s="2">
        <f t="array" ref="H28">IF(INDIRECT("'"&amp;B28&amp;"'!H40")&gt;0,INDIRECT("'"&amp;B28&amp;"'!H40"),"")</f>
        <v/>
      </c>
      <c r="I28" s="2">
        <f t="array" ref="I28">IF(INDIRECT("'"&amp;B28&amp;"'!I40")&gt;0,INDIRECT("'"&amp;B28&amp;"'!I40"),"")</f>
        <v/>
      </c>
      <c r="J28" s="44">
        <f t="array" ref="J28">IF(INDIRECT("'"&amp;B28&amp;"'!AJ40")&gt;0,INDIRECT("'"&amp;B28&amp;"'!AJ40"),"")</f>
        <v/>
      </c>
      <c r="K28" s="2">
        <f t="array" ref="K28">IF(INDIRECT("'"&amp;B28&amp;"'!AL40")&gt;0,INDIRECT("'"&amp;B28&amp;"'!AL40"),"")</f>
        <v/>
      </c>
      <c r="L28" s="120">
        <f t="array" ref="L28">IF(INDIRECT("'"&amp;B28&amp;"'!AN40")&gt;0,INDIRECT("'"&amp;B28&amp;"'!AN40"),"")</f>
        <v/>
      </c>
    </row>
    <row r="29" ht="16.5" customHeight="1">
      <c r="B29" s="119" t="n">
        <v>20</v>
      </c>
      <c r="C29" s="45">
        <f>IF('20'!A5="","",'20'!A5)</f>
        <v/>
      </c>
      <c r="D29" s="2">
        <f t="array" ref="D29">IF(INDIRECT("'"&amp;B29&amp;"'!AH40")&gt;0,INDIRECT("'"&amp;B29&amp;"'!AH40"),"")</f>
        <v/>
      </c>
      <c r="E29" s="2">
        <f t="array" ref="E29">IF(INDIRECT("'"&amp;B29&amp;"'!E40")&gt;0,INDIRECT("'"&amp;B29&amp;"'!E40"),"")</f>
        <v/>
      </c>
      <c r="F29" s="2">
        <f t="array" ref="F29">IF(INDIRECT("'"&amp;B29&amp;"'!F40")&gt;0,INDIRECT("'"&amp;B29&amp;"'!F40"),"")</f>
        <v/>
      </c>
      <c r="G29" s="2">
        <f t="array" ref="G29">IF(INDIRECT("'"&amp;B29&amp;"'!G40")&gt;0,INDIRECT("'"&amp;B29&amp;"'!G40"),"")</f>
        <v/>
      </c>
      <c r="H29" s="2">
        <f t="array" ref="H29">IF(INDIRECT("'"&amp;B29&amp;"'!H40")&gt;0,INDIRECT("'"&amp;B29&amp;"'!H40"),"")</f>
        <v/>
      </c>
      <c r="I29" s="2">
        <f t="array" ref="I29">IF(INDIRECT("'"&amp;B29&amp;"'!I40")&gt;0,INDIRECT("'"&amp;B29&amp;"'!I40"),"")</f>
        <v/>
      </c>
      <c r="J29" s="44">
        <f t="array" ref="J29">IF(INDIRECT("'"&amp;B29&amp;"'!AJ40")&gt;0,INDIRECT("'"&amp;B29&amp;"'!AJ40"),"")</f>
        <v/>
      </c>
      <c r="K29" s="2">
        <f t="array" ref="K29">IF(INDIRECT("'"&amp;B29&amp;"'!AL40")&gt;0,INDIRECT("'"&amp;B29&amp;"'!AL40"),"")</f>
        <v/>
      </c>
      <c r="L29" s="120">
        <f t="array" ref="L29">IF(INDIRECT("'"&amp;B29&amp;"'!AN40")&gt;0,INDIRECT("'"&amp;B29&amp;"'!AN40"),"")</f>
        <v/>
      </c>
    </row>
    <row r="30" ht="16.5" customHeight="1">
      <c r="B30" s="119" t="n">
        <v>21</v>
      </c>
      <c r="C30" s="45">
        <f>IF('21'!A5="","",'21'!A5)</f>
        <v/>
      </c>
      <c r="D30" s="2">
        <f t="array" ref="D30">IF(INDIRECT("'"&amp;B30&amp;"'!AH40")&gt;0,INDIRECT("'"&amp;B30&amp;"'!AH40"),"")</f>
        <v/>
      </c>
      <c r="E30" s="2">
        <f t="array" ref="E30">IF(INDIRECT("'"&amp;B30&amp;"'!E40")&gt;0,INDIRECT("'"&amp;B30&amp;"'!E40"),"")</f>
        <v/>
      </c>
      <c r="F30" s="2">
        <f t="array" ref="F30">IF(INDIRECT("'"&amp;B30&amp;"'!F40")&gt;0,INDIRECT("'"&amp;B30&amp;"'!F40"),"")</f>
        <v/>
      </c>
      <c r="G30" s="2">
        <f t="array" ref="G30">IF(INDIRECT("'"&amp;B30&amp;"'!G40")&gt;0,INDIRECT("'"&amp;B30&amp;"'!G40"),"")</f>
        <v/>
      </c>
      <c r="H30" s="2">
        <f t="array" ref="H30">IF(INDIRECT("'"&amp;B30&amp;"'!H40")&gt;0,INDIRECT("'"&amp;B30&amp;"'!H40"),"")</f>
        <v/>
      </c>
      <c r="I30" s="2">
        <f t="array" ref="I30">IF(INDIRECT("'"&amp;B30&amp;"'!I40")&gt;0,INDIRECT("'"&amp;B30&amp;"'!I40"),"")</f>
        <v/>
      </c>
      <c r="J30" s="44">
        <f t="array" ref="J30">IF(INDIRECT("'"&amp;B30&amp;"'!AJ40")&gt;0,INDIRECT("'"&amp;B30&amp;"'!AJ40"),"")</f>
        <v/>
      </c>
      <c r="K30" s="2">
        <f t="array" ref="K30">IF(INDIRECT("'"&amp;B30&amp;"'!AL40")&gt;0,INDIRECT("'"&amp;B30&amp;"'!AL40"),"")</f>
        <v/>
      </c>
      <c r="L30" s="120">
        <f t="array" ref="L30">IF(INDIRECT("'"&amp;B30&amp;"'!AN40")&gt;0,INDIRECT("'"&amp;B30&amp;"'!AN40"),"")</f>
        <v/>
      </c>
    </row>
    <row r="31" ht="16.5" customHeight="1">
      <c r="B31" s="119" t="n">
        <v>22</v>
      </c>
      <c r="C31" s="45">
        <f>IF('22'!A5="","",'22'!A5)</f>
        <v/>
      </c>
      <c r="D31" s="2">
        <f t="array" ref="D31">IF(INDIRECT("'"&amp;B31&amp;"'!AH40")&gt;0,INDIRECT("'"&amp;B31&amp;"'!AH40"),"")</f>
        <v/>
      </c>
      <c r="E31" s="2">
        <f t="array" ref="E31">IF(INDIRECT("'"&amp;B31&amp;"'!E40")&gt;0,INDIRECT("'"&amp;B31&amp;"'!E40"),"")</f>
        <v/>
      </c>
      <c r="F31" s="2">
        <f t="array" ref="F31">IF(INDIRECT("'"&amp;B31&amp;"'!F40")&gt;0,INDIRECT("'"&amp;B31&amp;"'!F40"),"")</f>
        <v/>
      </c>
      <c r="G31" s="2">
        <f t="array" ref="G31">IF(INDIRECT("'"&amp;B31&amp;"'!G40")&gt;0,INDIRECT("'"&amp;B31&amp;"'!G40"),"")</f>
        <v/>
      </c>
      <c r="H31" s="2">
        <f t="array" ref="H31">IF(INDIRECT("'"&amp;B31&amp;"'!H40")&gt;0,INDIRECT("'"&amp;B31&amp;"'!H40"),"")</f>
        <v/>
      </c>
      <c r="I31" s="2">
        <f t="array" ref="I31">IF(INDIRECT("'"&amp;B31&amp;"'!I40")&gt;0,INDIRECT("'"&amp;B31&amp;"'!I40"),"")</f>
        <v/>
      </c>
      <c r="J31" s="44">
        <f t="array" ref="J31">IF(INDIRECT("'"&amp;B31&amp;"'!AJ40")&gt;0,INDIRECT("'"&amp;B31&amp;"'!AJ40"),"")</f>
        <v/>
      </c>
      <c r="K31" s="2">
        <f t="array" ref="K31">IF(INDIRECT("'"&amp;B31&amp;"'!AL40")&gt;0,INDIRECT("'"&amp;B31&amp;"'!AL40"),"")</f>
        <v/>
      </c>
      <c r="L31" s="120">
        <f t="array" ref="L31">IF(INDIRECT("'"&amp;B31&amp;"'!AN40")&gt;0,INDIRECT("'"&amp;B31&amp;"'!AN40"),"")</f>
        <v/>
      </c>
    </row>
    <row r="32" ht="16.5" customHeight="1">
      <c r="B32" s="119" t="n">
        <v>23</v>
      </c>
      <c r="C32" s="45">
        <f>IF('23'!A5="","",'23'!A5)</f>
        <v/>
      </c>
      <c r="D32" s="2">
        <f t="array" ref="D32">IF(INDIRECT("'"&amp;B32&amp;"'!AH40")&gt;0,INDIRECT("'"&amp;B32&amp;"'!AH40"),"")</f>
        <v/>
      </c>
      <c r="E32" s="2">
        <f t="array" ref="E32">IF(INDIRECT("'"&amp;B32&amp;"'!E40")&gt;0,INDIRECT("'"&amp;B32&amp;"'!E40"),"")</f>
        <v/>
      </c>
      <c r="F32" s="2">
        <f t="array" ref="F32">IF(INDIRECT("'"&amp;B32&amp;"'!F40")&gt;0,INDIRECT("'"&amp;B32&amp;"'!F40"),"")</f>
        <v/>
      </c>
      <c r="G32" s="2">
        <f t="array" ref="G32">IF(INDIRECT("'"&amp;B32&amp;"'!G40")&gt;0,INDIRECT("'"&amp;B32&amp;"'!G40"),"")</f>
        <v/>
      </c>
      <c r="H32" s="2">
        <f t="array" ref="H32">IF(INDIRECT("'"&amp;B32&amp;"'!H40")&gt;0,INDIRECT("'"&amp;B32&amp;"'!H40"),"")</f>
        <v/>
      </c>
      <c r="I32" s="2">
        <f t="array" ref="I32">IF(INDIRECT("'"&amp;B32&amp;"'!I40")&gt;0,INDIRECT("'"&amp;B32&amp;"'!I40"),"")</f>
        <v/>
      </c>
      <c r="J32" s="44">
        <f t="array" ref="J32">IF(INDIRECT("'"&amp;B32&amp;"'!AJ40")&gt;0,INDIRECT("'"&amp;B32&amp;"'!AJ40"),"")</f>
        <v/>
      </c>
      <c r="K32" s="2">
        <f t="array" ref="K32">IF(INDIRECT("'"&amp;B32&amp;"'!AL40")&gt;0,INDIRECT("'"&amp;B32&amp;"'!AL40"),"")</f>
        <v/>
      </c>
      <c r="L32" s="120">
        <f t="array" ref="L32">IF(INDIRECT("'"&amp;B32&amp;"'!AN40")&gt;0,INDIRECT("'"&amp;B32&amp;"'!AN40"),"")</f>
        <v/>
      </c>
    </row>
    <row r="33" ht="16.5" customHeight="1">
      <c r="B33" s="119" t="n">
        <v>24</v>
      </c>
      <c r="C33" s="45">
        <f>IF('24'!A5="","",'24'!A5)</f>
        <v/>
      </c>
      <c r="D33" s="2">
        <f t="array" ref="D33">IF(INDIRECT("'"&amp;B33&amp;"'!AH40")&gt;0,INDIRECT("'"&amp;B33&amp;"'!AH40"),"")</f>
        <v/>
      </c>
      <c r="E33" s="2">
        <f t="array" ref="E33">IF(INDIRECT("'"&amp;B33&amp;"'!E40")&gt;0,INDIRECT("'"&amp;B33&amp;"'!E40"),"")</f>
        <v/>
      </c>
      <c r="F33" s="2">
        <f t="array" ref="F33">IF(INDIRECT("'"&amp;B33&amp;"'!F40")&gt;0,INDIRECT("'"&amp;B33&amp;"'!F40"),"")</f>
        <v/>
      </c>
      <c r="G33" s="2">
        <f t="array" ref="G33">IF(INDIRECT("'"&amp;B33&amp;"'!G40")&gt;0,INDIRECT("'"&amp;B33&amp;"'!G40"),"")</f>
        <v/>
      </c>
      <c r="H33" s="2">
        <f t="array" ref="H33">IF(INDIRECT("'"&amp;B33&amp;"'!H40")&gt;0,INDIRECT("'"&amp;B33&amp;"'!H40"),"")</f>
        <v/>
      </c>
      <c r="I33" s="2">
        <f t="array" ref="I33">IF(INDIRECT("'"&amp;B33&amp;"'!I40")&gt;0,INDIRECT("'"&amp;B33&amp;"'!I40"),"")</f>
        <v/>
      </c>
      <c r="J33" s="44">
        <f t="array" ref="J33">IF(INDIRECT("'"&amp;B33&amp;"'!AJ40")&gt;0,INDIRECT("'"&amp;B33&amp;"'!AJ40"),"")</f>
        <v/>
      </c>
      <c r="K33" s="2">
        <f t="array" ref="K33">IF(INDIRECT("'"&amp;B33&amp;"'!AL40")&gt;0,INDIRECT("'"&amp;B33&amp;"'!AL40"),"")</f>
        <v/>
      </c>
      <c r="L33" s="120">
        <f t="array" ref="L33">IF(INDIRECT("'"&amp;B33&amp;"'!AN40")&gt;0,INDIRECT("'"&amp;B33&amp;"'!AN40"),"")</f>
        <v/>
      </c>
    </row>
    <row r="34" ht="16.5" customHeight="1">
      <c r="B34" s="119" t="n">
        <v>25</v>
      </c>
      <c r="C34" s="45">
        <f>IF('25'!A5="","",'25'!A5)</f>
        <v/>
      </c>
      <c r="D34" s="2">
        <f t="array" ref="D34">IF(INDIRECT("'"&amp;B34&amp;"'!AH40")&gt;0,INDIRECT("'"&amp;B34&amp;"'!AH40"),"")</f>
        <v/>
      </c>
      <c r="E34" s="2">
        <f t="array" ref="E34">IF(INDIRECT("'"&amp;B34&amp;"'!E40")&gt;0,INDIRECT("'"&amp;B34&amp;"'!E40"),"")</f>
        <v/>
      </c>
      <c r="F34" s="2">
        <f t="array" ref="F34">IF(INDIRECT("'"&amp;B34&amp;"'!F40")&gt;0,INDIRECT("'"&amp;B34&amp;"'!F40"),"")</f>
        <v/>
      </c>
      <c r="G34" s="2">
        <f t="array" ref="G34">IF(INDIRECT("'"&amp;B34&amp;"'!G40")&gt;0,INDIRECT("'"&amp;B34&amp;"'!G40"),"")</f>
        <v/>
      </c>
      <c r="H34" s="2">
        <f t="array" ref="H34">IF(INDIRECT("'"&amp;B34&amp;"'!H40")&gt;0,INDIRECT("'"&amp;B34&amp;"'!H40"),"")</f>
        <v/>
      </c>
      <c r="I34" s="2">
        <f t="array" ref="I34">IF(INDIRECT("'"&amp;B34&amp;"'!I40")&gt;0,INDIRECT("'"&amp;B34&amp;"'!I40"),"")</f>
        <v/>
      </c>
      <c r="J34" s="44">
        <f t="array" ref="J34">IF(INDIRECT("'"&amp;B34&amp;"'!AJ40")&gt;0,INDIRECT("'"&amp;B34&amp;"'!AJ40"),"")</f>
        <v/>
      </c>
      <c r="K34" s="2">
        <f t="array" ref="K34">IF(INDIRECT("'"&amp;B34&amp;"'!AL40")&gt;0,INDIRECT("'"&amp;B34&amp;"'!AL40"),"")</f>
        <v/>
      </c>
      <c r="L34" s="120">
        <f t="array" ref="L34">IF(INDIRECT("'"&amp;B34&amp;"'!AN40")&gt;0,INDIRECT("'"&amp;B34&amp;"'!AN40"),"")</f>
        <v/>
      </c>
    </row>
    <row r="35" ht="16.5" customHeight="1">
      <c r="B35" s="119" t="n">
        <v>26</v>
      </c>
      <c r="C35" s="45">
        <f>IF('26'!A5="","",'26'!A5)</f>
        <v/>
      </c>
      <c r="D35" s="2">
        <f t="array" ref="D35">IF(INDIRECT("'"&amp;B35&amp;"'!AH40")&gt;0,INDIRECT("'"&amp;B35&amp;"'!AH40"),"")</f>
        <v/>
      </c>
      <c r="E35" s="2">
        <f t="array" ref="E35">IF(INDIRECT("'"&amp;B35&amp;"'!E40")&gt;0,INDIRECT("'"&amp;B35&amp;"'!E40"),"")</f>
        <v/>
      </c>
      <c r="F35" s="2">
        <f t="array" ref="F35">IF(INDIRECT("'"&amp;B35&amp;"'!F40")&gt;0,INDIRECT("'"&amp;B35&amp;"'!F40"),"")</f>
        <v/>
      </c>
      <c r="G35" s="2">
        <f t="array" ref="G35">IF(INDIRECT("'"&amp;B35&amp;"'!G40")&gt;0,INDIRECT("'"&amp;B35&amp;"'!G40"),"")</f>
        <v/>
      </c>
      <c r="H35" s="2">
        <f t="array" ref="H35">IF(INDIRECT("'"&amp;B35&amp;"'!H40")&gt;0,INDIRECT("'"&amp;B35&amp;"'!H40"),"")</f>
        <v/>
      </c>
      <c r="I35" s="2">
        <f t="array" ref="I35">IF(INDIRECT("'"&amp;B35&amp;"'!I40")&gt;0,INDIRECT("'"&amp;B35&amp;"'!I40"),"")</f>
        <v/>
      </c>
      <c r="J35" s="44">
        <f t="array" ref="J35">IF(INDIRECT("'"&amp;B35&amp;"'!AJ40")&gt;0,INDIRECT("'"&amp;B35&amp;"'!AJ40"),"")</f>
        <v/>
      </c>
      <c r="K35" s="2">
        <f t="array" ref="K35">IF(INDIRECT("'"&amp;B35&amp;"'!AL40")&gt;0,INDIRECT("'"&amp;B35&amp;"'!AL40"),"")</f>
        <v/>
      </c>
      <c r="L35" s="120">
        <f t="array" ref="L35">IF(INDIRECT("'"&amp;B35&amp;"'!AN40")&gt;0,INDIRECT("'"&amp;B35&amp;"'!AN40"),"")</f>
        <v/>
      </c>
    </row>
    <row r="36" ht="16.5" customHeight="1">
      <c r="B36" s="119" t="n">
        <v>27</v>
      </c>
      <c r="C36" s="45">
        <f>IF('27'!A5="","",'27'!A5)</f>
        <v/>
      </c>
      <c r="D36" s="2">
        <f t="array" ref="D36">IF(INDIRECT("'"&amp;B36&amp;"'!AH40")&gt;0,INDIRECT("'"&amp;B36&amp;"'!AH40"),"")</f>
        <v/>
      </c>
      <c r="E36" s="2">
        <f t="array" ref="E36">IF(INDIRECT("'"&amp;B36&amp;"'!E40")&gt;0,INDIRECT("'"&amp;B36&amp;"'!E40"),"")</f>
        <v/>
      </c>
      <c r="F36" s="2">
        <f t="array" ref="F36">IF(INDIRECT("'"&amp;B36&amp;"'!F40")&gt;0,INDIRECT("'"&amp;B36&amp;"'!F40"),"")</f>
        <v/>
      </c>
      <c r="G36" s="2">
        <f t="array" ref="G36">IF(INDIRECT("'"&amp;B36&amp;"'!G40")&gt;0,INDIRECT("'"&amp;B36&amp;"'!G40"),"")</f>
        <v/>
      </c>
      <c r="H36" s="2">
        <f t="array" ref="H36">IF(INDIRECT("'"&amp;B36&amp;"'!H40")&gt;0,INDIRECT("'"&amp;B36&amp;"'!H40"),"")</f>
        <v/>
      </c>
      <c r="I36" s="2">
        <f t="array" ref="I36">IF(INDIRECT("'"&amp;B36&amp;"'!I40")&gt;0,INDIRECT("'"&amp;B36&amp;"'!I40"),"")</f>
        <v/>
      </c>
      <c r="J36" s="44">
        <f t="array" ref="J36">IF(INDIRECT("'"&amp;B36&amp;"'!AJ40")&gt;0,INDIRECT("'"&amp;B36&amp;"'!AJ40"),"")</f>
        <v/>
      </c>
      <c r="K36" s="2">
        <f t="array" ref="K36">IF(INDIRECT("'"&amp;B36&amp;"'!AL40")&gt;0,INDIRECT("'"&amp;B36&amp;"'!AL40"),"")</f>
        <v/>
      </c>
      <c r="L36" s="120">
        <f t="array" ref="L36">IF(INDIRECT("'"&amp;B36&amp;"'!AN40")&gt;0,INDIRECT("'"&amp;B36&amp;"'!AN40"),"")</f>
        <v/>
      </c>
    </row>
    <row r="37" ht="16.5" customHeight="1">
      <c r="B37" s="119" t="n">
        <v>28</v>
      </c>
      <c r="C37" s="45">
        <f>IF('28'!A5="","",'28'!A5)</f>
        <v/>
      </c>
      <c r="D37" s="2">
        <f t="array" ref="D37">IF(INDIRECT("'"&amp;B37&amp;"'!AH40")&gt;0,INDIRECT("'"&amp;B37&amp;"'!AH40"),"")</f>
        <v/>
      </c>
      <c r="E37" s="2">
        <f t="array" ref="E37">IF(INDIRECT("'"&amp;B37&amp;"'!E40")&gt;0,INDIRECT("'"&amp;B37&amp;"'!E40"),"")</f>
        <v/>
      </c>
      <c r="F37" s="2">
        <f t="array" ref="F37">IF(INDIRECT("'"&amp;B37&amp;"'!F40")&gt;0,INDIRECT("'"&amp;B37&amp;"'!F40"),"")</f>
        <v/>
      </c>
      <c r="G37" s="2">
        <f t="array" ref="G37">IF(INDIRECT("'"&amp;B37&amp;"'!G40")&gt;0,INDIRECT("'"&amp;B37&amp;"'!G40"),"")</f>
        <v/>
      </c>
      <c r="H37" s="2">
        <f t="array" ref="H37">IF(INDIRECT("'"&amp;B37&amp;"'!H40")&gt;0,INDIRECT("'"&amp;B37&amp;"'!H40"),"")</f>
        <v/>
      </c>
      <c r="I37" s="2">
        <f t="array" ref="I37">IF(INDIRECT("'"&amp;B37&amp;"'!I40")&gt;0,INDIRECT("'"&amp;B37&amp;"'!I40"),"")</f>
        <v/>
      </c>
      <c r="J37" s="44">
        <f t="array" ref="J37">IF(INDIRECT("'"&amp;B37&amp;"'!AJ40")&gt;0,INDIRECT("'"&amp;B37&amp;"'!AJ40"),"")</f>
        <v/>
      </c>
      <c r="K37" s="2">
        <f t="array" ref="K37">IF(INDIRECT("'"&amp;B37&amp;"'!AL40")&gt;0,INDIRECT("'"&amp;B37&amp;"'!AL40"),"")</f>
        <v/>
      </c>
      <c r="L37" s="120">
        <f t="array" ref="L37">IF(INDIRECT("'"&amp;B37&amp;"'!AN40")&gt;0,INDIRECT("'"&amp;B37&amp;"'!AN40"),"")</f>
        <v/>
      </c>
    </row>
    <row r="38" ht="16.5" customHeight="1">
      <c r="B38" s="119" t="n">
        <v>29</v>
      </c>
      <c r="C38" s="45">
        <f>IF('29'!A5="","",'29'!A5)</f>
        <v/>
      </c>
      <c r="D38" s="2">
        <f t="array" ref="D38">IF(INDIRECT("'"&amp;B38&amp;"'!AH40")&gt;0,INDIRECT("'"&amp;B38&amp;"'!AH40"),"")</f>
        <v/>
      </c>
      <c r="E38" s="2">
        <f t="array" ref="E38">IF(INDIRECT("'"&amp;B38&amp;"'!E40")&gt;0,INDIRECT("'"&amp;B38&amp;"'!E40"),"")</f>
        <v/>
      </c>
      <c r="F38" s="2">
        <f t="array" ref="F38">IF(INDIRECT("'"&amp;B38&amp;"'!F40")&gt;0,INDIRECT("'"&amp;B38&amp;"'!F40"),"")</f>
        <v/>
      </c>
      <c r="G38" s="2">
        <f t="array" ref="G38">IF(INDIRECT("'"&amp;B38&amp;"'!G40")&gt;0,INDIRECT("'"&amp;B38&amp;"'!G40"),"")</f>
        <v/>
      </c>
      <c r="H38" s="2">
        <f t="array" ref="H38">IF(INDIRECT("'"&amp;B38&amp;"'!H40")&gt;0,INDIRECT("'"&amp;B38&amp;"'!H40"),"")</f>
        <v/>
      </c>
      <c r="I38" s="2">
        <f t="array" ref="I38">IF(INDIRECT("'"&amp;B38&amp;"'!I40")&gt;0,INDIRECT("'"&amp;B38&amp;"'!I40"),"")</f>
        <v/>
      </c>
      <c r="J38" s="44">
        <f t="array" ref="J38">IF(INDIRECT("'"&amp;B38&amp;"'!AJ40")&gt;0,INDIRECT("'"&amp;B38&amp;"'!AJ40"),"")</f>
        <v/>
      </c>
      <c r="K38" s="2">
        <f t="array" ref="K38">IF(INDIRECT("'"&amp;B38&amp;"'!AL40")&gt;0,INDIRECT("'"&amp;B38&amp;"'!AL40"),"")</f>
        <v/>
      </c>
      <c r="L38" s="120">
        <f t="array" ref="L38">IF(INDIRECT("'"&amp;B38&amp;"'!AN40")&gt;0,INDIRECT("'"&amp;B38&amp;"'!AN40"),"")</f>
        <v/>
      </c>
    </row>
    <row r="39" ht="16.5" customHeight="1">
      <c r="B39" s="119" t="n">
        <v>30</v>
      </c>
      <c r="C39" s="45">
        <f>IF('30'!A5="","",'30'!A5)</f>
        <v/>
      </c>
      <c r="D39" s="2">
        <f t="array" ref="D39">IF(INDIRECT("'"&amp;B39&amp;"'!AH40")&gt;0,INDIRECT("'"&amp;B39&amp;"'!AH40"),"")</f>
        <v/>
      </c>
      <c r="E39" s="2">
        <f t="array" ref="E39">IF(INDIRECT("'"&amp;B39&amp;"'!E40")&gt;0,INDIRECT("'"&amp;B39&amp;"'!E40"),"")</f>
        <v/>
      </c>
      <c r="F39" s="2">
        <f t="array" ref="F39">IF(INDIRECT("'"&amp;B39&amp;"'!F40")&gt;0,INDIRECT("'"&amp;B39&amp;"'!F40"),"")</f>
        <v/>
      </c>
      <c r="G39" s="2">
        <f t="array" ref="G39">IF(INDIRECT("'"&amp;B39&amp;"'!G40")&gt;0,INDIRECT("'"&amp;B39&amp;"'!G40"),"")</f>
        <v/>
      </c>
      <c r="H39" s="2">
        <f t="array" ref="H39">IF(INDIRECT("'"&amp;B39&amp;"'!H40")&gt;0,INDIRECT("'"&amp;B39&amp;"'!H40"),"")</f>
        <v/>
      </c>
      <c r="I39" s="2">
        <f t="array" ref="I39">IF(INDIRECT("'"&amp;B39&amp;"'!I40")&gt;0,INDIRECT("'"&amp;B39&amp;"'!I40"),"")</f>
        <v/>
      </c>
      <c r="J39" s="44">
        <f t="array" ref="J39">IF(INDIRECT("'"&amp;B39&amp;"'!AJ40")&gt;0,INDIRECT("'"&amp;B39&amp;"'!AJ40"),"")</f>
        <v/>
      </c>
      <c r="K39" s="2">
        <f t="array" ref="K39">IF(INDIRECT("'"&amp;B39&amp;"'!AL40")&gt;0,INDIRECT("'"&amp;B39&amp;"'!AL40"),"")</f>
        <v/>
      </c>
      <c r="L39" s="120">
        <f t="array" ref="L39">IF(INDIRECT("'"&amp;B39&amp;"'!AN40")&gt;0,INDIRECT("'"&amp;B39&amp;"'!AN40"),"")</f>
        <v/>
      </c>
    </row>
    <row r="40" ht="17.25" customHeight="1" thickBot="1">
      <c r="B40" s="9" t="n">
        <v>31</v>
      </c>
      <c r="C40" s="50">
        <f>IF('31'!A5="","",'31'!A5)</f>
        <v/>
      </c>
      <c r="D40" s="47">
        <f t="array" ref="D40">IF(INDIRECT("'"&amp;B40&amp;"'!AH40")&gt;0,INDIRECT("'"&amp;B40&amp;"'!AH40"),"")</f>
        <v/>
      </c>
      <c r="E40" s="47">
        <f t="array" ref="E40">IF(INDIRECT("'"&amp;B40&amp;"'!E40")&gt;0,INDIRECT("'"&amp;B40&amp;"'!E40"),"")</f>
        <v/>
      </c>
      <c r="F40" s="47">
        <f t="array" ref="F40">IF(INDIRECT("'"&amp;B40&amp;"'!F40")&gt;0,INDIRECT("'"&amp;B40&amp;"'!F40"),"")</f>
        <v/>
      </c>
      <c r="G40" s="47">
        <f t="array" ref="G40">IF(INDIRECT("'"&amp;B40&amp;"'!G40")&gt;0,INDIRECT("'"&amp;B40&amp;"'!G40"),"")</f>
        <v/>
      </c>
      <c r="H40" s="47">
        <f t="array" ref="H40">IF(INDIRECT("'"&amp;B40&amp;"'!H40")&gt;0,INDIRECT("'"&amp;B40&amp;"'!H40"),"")</f>
        <v/>
      </c>
      <c r="I40" s="47">
        <f t="array" ref="I40">IF(INDIRECT("'"&amp;B40&amp;"'!I40")&gt;0,INDIRECT("'"&amp;B40&amp;"'!I40"),"")</f>
        <v/>
      </c>
      <c r="J40" s="48">
        <f t="array" ref="J40">IF(INDIRECT("'"&amp;B40&amp;"'!AJ40")&gt;0,INDIRECT("'"&amp;B40&amp;"'!AJ40"),"")</f>
        <v/>
      </c>
      <c r="K40" s="47">
        <f t="array" ref="K40">IF(INDIRECT("'"&amp;B40&amp;"'!AL40")&gt;0,INDIRECT("'"&amp;B40&amp;"'!AL40"),"")</f>
        <v/>
      </c>
      <c r="L40" s="51">
        <f t="array" ref="L40">IF(INDIRECT("'"&amp;B40&amp;"'!AN40")&gt;0,INDIRECT("'"&amp;B40&amp;"'!AN40"),"")</f>
        <v/>
      </c>
    </row>
    <row r="41" ht="15.75" customHeight="1" thickBot="1">
      <c r="D41" s="52">
        <f>SUM(D10:D40)</f>
        <v/>
      </c>
      <c r="E41" s="53">
        <f>SUM(E10:E40)</f>
        <v/>
      </c>
      <c r="F41" s="53">
        <f>SUM(F10:F40)</f>
        <v/>
      </c>
      <c r="G41" s="53">
        <f>SUM(G10:G40)</f>
        <v/>
      </c>
      <c r="H41" s="53">
        <f>SUM(H10:H40)</f>
        <v/>
      </c>
      <c r="I41" s="53">
        <f>SUM(I10:I40)</f>
        <v/>
      </c>
      <c r="J41" s="53">
        <f>SUM(J10:J40)</f>
        <v/>
      </c>
      <c r="K41" s="53">
        <f>SUM(K10:K40)</f>
        <v/>
      </c>
      <c r="L41" s="54">
        <f>SUM(L10:L40)</f>
        <v/>
      </c>
    </row>
    <row r="43">
      <c r="C43" s="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+cyEF0WB5FZOYkWo7g8uQ==" formatRows="1" sort="1" spinCount="100000" hashValue="6atsp05Kul/zTJ40NKojjPLhvh+hH153cbgBIKqJrY6M+ekPFA1zJl6L+LKTUZBz0J8iOSc4XYk3SfSRTN9DcA=="/>
  <mergeCells count="1">
    <mergeCell ref="B8:L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77" t="inlineStr">
        <is>
          <t>Дата</t>
        </is>
      </c>
      <c r="B1" s="177" t="inlineStr">
        <is>
          <t>Стирок</t>
        </is>
      </c>
      <c r="C1" s="177" t="inlineStr">
        <is>
          <t>Кг белья</t>
        </is>
      </c>
      <c r="D1" s="177" t="inlineStr">
        <is>
          <t>EMULSIFIER</t>
        </is>
      </c>
      <c r="E1" s="177" t="inlineStr">
        <is>
          <t>ALKALINE</t>
        </is>
      </c>
      <c r="F1" s="177" t="inlineStr">
        <is>
          <t>BLEACH</t>
        </is>
      </c>
      <c r="G1" s="177" t="inlineStr">
        <is>
          <t>SOFTENER</t>
        </is>
      </c>
      <c r="H1" s="177" t="inlineStr">
        <is>
          <t>NEUTRALIZER</t>
        </is>
      </c>
      <c r="I1" s="177" t="inlineStr">
        <is>
          <t>Ваниш</t>
        </is>
      </c>
      <c r="J1" s="177" t="inlineStr">
        <is>
          <t>Ленор</t>
        </is>
      </c>
      <c r="K1" s="177" t="inlineStr">
        <is>
          <t>Порошок</t>
        </is>
      </c>
    </row>
    <row r="2">
      <c r="A2" s="178" t="n">
        <v>1</v>
      </c>
    </row>
    <row r="3">
      <c r="A3" s="178" t="n">
        <v>2</v>
      </c>
    </row>
    <row r="4">
      <c r="A4" s="178" t="n">
        <v>3</v>
      </c>
    </row>
    <row r="5">
      <c r="A5" s="178" t="n">
        <v>4</v>
      </c>
    </row>
    <row r="6">
      <c r="A6" s="178" t="n">
        <v>5</v>
      </c>
    </row>
    <row r="7">
      <c r="A7" s="178" t="n">
        <v>6</v>
      </c>
    </row>
    <row r="8">
      <c r="A8" s="178" t="n">
        <v>7</v>
      </c>
    </row>
    <row r="9">
      <c r="A9" s="178" t="n">
        <v>8</v>
      </c>
    </row>
    <row r="10">
      <c r="A10" s="178" t="n">
        <v>9</v>
      </c>
    </row>
    <row r="11">
      <c r="A11" s="178" t="n">
        <v>10</v>
      </c>
    </row>
    <row r="12">
      <c r="A12" s="178" t="n">
        <v>11</v>
      </c>
    </row>
    <row r="13">
      <c r="A13" s="178" t="n">
        <v>12</v>
      </c>
    </row>
    <row r="14">
      <c r="A14" s="178" t="n">
        <v>13</v>
      </c>
    </row>
    <row r="15">
      <c r="A15" s="178" t="n">
        <v>14</v>
      </c>
    </row>
    <row r="16">
      <c r="A16" s="178" t="n">
        <v>15</v>
      </c>
    </row>
    <row r="17">
      <c r="A17" s="178" t="n">
        <v>16</v>
      </c>
    </row>
    <row r="18">
      <c r="A18" s="178" t="n">
        <v>17</v>
      </c>
    </row>
    <row r="19">
      <c r="A19" s="178" t="n">
        <v>18</v>
      </c>
    </row>
    <row r="20">
      <c r="A20" s="178" t="n">
        <v>19</v>
      </c>
    </row>
    <row r="21">
      <c r="A21" s="178" t="n">
        <v>20</v>
      </c>
    </row>
    <row r="22">
      <c r="A22" s="178" t="n">
        <v>21</v>
      </c>
    </row>
    <row r="23">
      <c r="A23" s="178" t="n">
        <v>22</v>
      </c>
    </row>
    <row r="24">
      <c r="A24" s="178" t="n">
        <v>23</v>
      </c>
    </row>
    <row r="25">
      <c r="A25" s="178" t="n">
        <v>24</v>
      </c>
    </row>
    <row r="26">
      <c r="A26" s="178" t="n">
        <v>25</v>
      </c>
    </row>
    <row r="27">
      <c r="A27" s="178" t="n">
        <v>26</v>
      </c>
    </row>
    <row r="28">
      <c r="A28" s="178" t="n">
        <v>27</v>
      </c>
    </row>
    <row r="29">
      <c r="A29" s="178" t="n">
        <v>28</v>
      </c>
    </row>
    <row r="30">
      <c r="A30" s="178" t="n">
        <v>29</v>
      </c>
    </row>
    <row r="31">
      <c r="A31" s="178" t="n">
        <v>30</v>
      </c>
    </row>
    <row r="32">
      <c r="A32" s="178" t="n">
        <v>31</v>
      </c>
    </row>
    <row r="33">
      <c r="A33" s="179" t="inlineStr">
        <is>
          <t>ИТОГО</t>
        </is>
      </c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</row>
  </sheetData>
  <autoFilter ref="A1:K3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77" t="inlineStr">
        <is>
          <t>Дата</t>
        </is>
      </c>
      <c r="B1" s="177" t="inlineStr">
        <is>
          <t>Стирок</t>
        </is>
      </c>
      <c r="C1" s="177" t="inlineStr">
        <is>
          <t>Кг белья</t>
        </is>
      </c>
      <c r="D1" s="177" t="inlineStr">
        <is>
          <t>EMULSIFIER</t>
        </is>
      </c>
      <c r="E1" s="177" t="inlineStr">
        <is>
          <t>ALKALINE</t>
        </is>
      </c>
      <c r="F1" s="177" t="inlineStr">
        <is>
          <t>BLEACH</t>
        </is>
      </c>
      <c r="G1" s="177" t="inlineStr">
        <is>
          <t>SOFTENER</t>
        </is>
      </c>
      <c r="H1" s="177" t="inlineStr">
        <is>
          <t>NEUTRALIZER</t>
        </is>
      </c>
      <c r="I1" s="177" t="inlineStr">
        <is>
          <t>Ваниш</t>
        </is>
      </c>
      <c r="J1" s="177" t="inlineStr">
        <is>
          <t>Ленор</t>
        </is>
      </c>
      <c r="K1" s="177" t="inlineStr">
        <is>
          <t>Порошок</t>
        </is>
      </c>
    </row>
    <row r="2">
      <c r="A2" s="178" t="n">
        <v>1</v>
      </c>
    </row>
    <row r="3">
      <c r="A3" s="178" t="n">
        <v>2</v>
      </c>
    </row>
    <row r="4">
      <c r="A4" s="178" t="n">
        <v>3</v>
      </c>
    </row>
    <row r="5">
      <c r="A5" s="178" t="n">
        <v>4</v>
      </c>
    </row>
    <row r="6">
      <c r="A6" s="178" t="n">
        <v>5</v>
      </c>
    </row>
    <row r="7">
      <c r="A7" s="178" t="n">
        <v>6</v>
      </c>
    </row>
    <row r="8">
      <c r="A8" s="178" t="n">
        <v>7</v>
      </c>
    </row>
    <row r="9">
      <c r="A9" s="178" t="n">
        <v>8</v>
      </c>
    </row>
    <row r="10">
      <c r="A10" s="178" t="n">
        <v>9</v>
      </c>
    </row>
    <row r="11">
      <c r="A11" s="178" t="n">
        <v>10</v>
      </c>
    </row>
    <row r="12">
      <c r="A12" s="178" t="n">
        <v>11</v>
      </c>
    </row>
    <row r="13">
      <c r="A13" s="178" t="n">
        <v>12</v>
      </c>
    </row>
    <row r="14">
      <c r="A14" s="178" t="n">
        <v>13</v>
      </c>
    </row>
    <row r="15">
      <c r="A15" s="178" t="n">
        <v>14</v>
      </c>
    </row>
    <row r="16">
      <c r="A16" s="178" t="n">
        <v>15</v>
      </c>
    </row>
    <row r="17">
      <c r="A17" s="178" t="n">
        <v>16</v>
      </c>
    </row>
    <row r="18">
      <c r="A18" s="178" t="n">
        <v>17</v>
      </c>
    </row>
    <row r="19">
      <c r="A19" s="178" t="n">
        <v>18</v>
      </c>
    </row>
    <row r="20">
      <c r="A20" s="178" t="n">
        <v>19</v>
      </c>
    </row>
    <row r="21">
      <c r="A21" s="178" t="n">
        <v>20</v>
      </c>
    </row>
    <row r="22">
      <c r="A22" s="178" t="n">
        <v>21</v>
      </c>
    </row>
    <row r="23">
      <c r="A23" s="178" t="n">
        <v>22</v>
      </c>
    </row>
    <row r="24">
      <c r="A24" s="178" t="n">
        <v>23</v>
      </c>
    </row>
    <row r="25">
      <c r="A25" s="178" t="n">
        <v>24</v>
      </c>
    </row>
    <row r="26">
      <c r="A26" s="178" t="n">
        <v>25</v>
      </c>
    </row>
    <row r="27">
      <c r="A27" s="178" t="n">
        <v>26</v>
      </c>
    </row>
    <row r="28">
      <c r="A28" s="178" t="n">
        <v>27</v>
      </c>
    </row>
    <row r="29">
      <c r="A29" s="178" t="n">
        <v>28</v>
      </c>
    </row>
    <row r="30">
      <c r="A30" s="178" t="n">
        <v>29</v>
      </c>
    </row>
    <row r="31">
      <c r="A31" s="178" t="n">
        <v>30</v>
      </c>
    </row>
    <row r="32">
      <c r="A32" s="178" t="n">
        <v>31</v>
      </c>
    </row>
    <row r="33">
      <c r="A33" s="179" t="inlineStr">
        <is>
          <t>ИТОГО</t>
        </is>
      </c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</row>
  </sheetData>
  <autoFilter ref="A1:K3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77" t="inlineStr">
        <is>
          <t>Дата</t>
        </is>
      </c>
      <c r="B1" s="177" t="inlineStr">
        <is>
          <t>Стирок</t>
        </is>
      </c>
      <c r="C1" s="177" t="inlineStr">
        <is>
          <t>Кг белья</t>
        </is>
      </c>
      <c r="D1" s="177" t="inlineStr">
        <is>
          <t>EMULSIFIER</t>
        </is>
      </c>
      <c r="E1" s="177" t="inlineStr">
        <is>
          <t>ALKALINE</t>
        </is>
      </c>
      <c r="F1" s="177" t="inlineStr">
        <is>
          <t>BLEACH</t>
        </is>
      </c>
      <c r="G1" s="177" t="inlineStr">
        <is>
          <t>SOFTENER</t>
        </is>
      </c>
      <c r="H1" s="177" t="inlineStr">
        <is>
          <t>NEUTRALIZER</t>
        </is>
      </c>
      <c r="I1" s="177" t="inlineStr">
        <is>
          <t>Ваниш</t>
        </is>
      </c>
      <c r="J1" s="177" t="inlineStr">
        <is>
          <t>Ленор</t>
        </is>
      </c>
      <c r="K1" s="177" t="inlineStr">
        <is>
          <t>Порошок</t>
        </is>
      </c>
    </row>
    <row r="2">
      <c r="A2" s="178" t="n">
        <v>1</v>
      </c>
    </row>
    <row r="3">
      <c r="A3" s="178" t="n">
        <v>2</v>
      </c>
    </row>
    <row r="4">
      <c r="A4" s="178" t="n">
        <v>3</v>
      </c>
    </row>
    <row r="5">
      <c r="A5" s="178" t="n">
        <v>4</v>
      </c>
    </row>
    <row r="6">
      <c r="A6" s="178" t="n">
        <v>5</v>
      </c>
    </row>
    <row r="7">
      <c r="A7" s="178" t="n">
        <v>6</v>
      </c>
    </row>
    <row r="8">
      <c r="A8" s="178" t="n">
        <v>7</v>
      </c>
    </row>
    <row r="9">
      <c r="A9" s="178" t="n">
        <v>8</v>
      </c>
    </row>
    <row r="10">
      <c r="A10" s="178" t="n">
        <v>9</v>
      </c>
    </row>
    <row r="11">
      <c r="A11" s="178" t="n">
        <v>10</v>
      </c>
    </row>
    <row r="12">
      <c r="A12" s="178" t="n">
        <v>11</v>
      </c>
    </row>
    <row r="13">
      <c r="A13" s="178" t="n">
        <v>12</v>
      </c>
    </row>
    <row r="14">
      <c r="A14" s="178" t="n">
        <v>13</v>
      </c>
    </row>
    <row r="15">
      <c r="A15" s="178" t="n">
        <v>14</v>
      </c>
    </row>
    <row r="16">
      <c r="A16" s="178" t="n">
        <v>15</v>
      </c>
    </row>
    <row r="17">
      <c r="A17" s="178" t="n">
        <v>16</v>
      </c>
    </row>
    <row r="18">
      <c r="A18" s="178" t="n">
        <v>17</v>
      </c>
    </row>
    <row r="19">
      <c r="A19" s="178" t="n">
        <v>18</v>
      </c>
    </row>
    <row r="20">
      <c r="A20" s="178" t="n">
        <v>19</v>
      </c>
    </row>
    <row r="21">
      <c r="A21" s="178" t="n">
        <v>20</v>
      </c>
    </row>
    <row r="22">
      <c r="A22" s="178" t="n">
        <v>21</v>
      </c>
    </row>
    <row r="23">
      <c r="A23" s="178" t="n">
        <v>22</v>
      </c>
    </row>
    <row r="24">
      <c r="A24" s="178" t="n">
        <v>23</v>
      </c>
    </row>
    <row r="25">
      <c r="A25" s="178" t="n">
        <v>24</v>
      </c>
    </row>
    <row r="26">
      <c r="A26" s="178" t="n">
        <v>25</v>
      </c>
    </row>
    <row r="27">
      <c r="A27" s="178" t="n">
        <v>26</v>
      </c>
    </row>
    <row r="28">
      <c r="A28" s="178" t="n">
        <v>27</v>
      </c>
    </row>
    <row r="29">
      <c r="A29" s="178" t="n">
        <v>28</v>
      </c>
    </row>
    <row r="30">
      <c r="A30" s="178" t="n">
        <v>29</v>
      </c>
    </row>
    <row r="31">
      <c r="A31" s="178" t="n">
        <v>30</v>
      </c>
    </row>
    <row r="32">
      <c r="A32" s="178" t="n">
        <v>31</v>
      </c>
    </row>
    <row r="33">
      <c r="A33" s="179" t="inlineStr">
        <is>
          <t>ИТОГО</t>
        </is>
      </c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</row>
  </sheetData>
  <autoFilter ref="A1:K3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0" customWidth="1" min="11" max="11"/>
    <col width="10" customWidth="1" min="12" max="12"/>
    <col width="12" customWidth="1" min="13" max="13"/>
  </cols>
  <sheetData>
    <row r="1" ht="30" customHeight="1">
      <c r="A1" s="181" t="inlineStr">
        <is>
          <t>Дата</t>
        </is>
      </c>
      <c r="B1" s="181" t="inlineStr">
        <is>
          <t>Дозатор</t>
        </is>
      </c>
      <c r="C1" s="181" t="inlineStr">
        <is>
          <t>Машина</t>
        </is>
      </c>
      <c r="D1" s="181" t="inlineStr">
        <is>
          <t>Стирок</t>
        </is>
      </c>
      <c r="E1" s="181" t="inlineStr">
        <is>
          <t>Кг белья</t>
        </is>
      </c>
      <c r="F1" s="181" t="inlineStr">
        <is>
          <t>EMULSIFIER</t>
        </is>
      </c>
      <c r="G1" s="181" t="inlineStr">
        <is>
          <t>ALKALINE</t>
        </is>
      </c>
      <c r="H1" s="181" t="inlineStr">
        <is>
          <t>BLEACH</t>
        </is>
      </c>
      <c r="I1" s="181" t="inlineStr">
        <is>
          <t>SOFTENER</t>
        </is>
      </c>
      <c r="J1" s="181" t="inlineStr">
        <is>
          <t>NEUTRALIZER</t>
        </is>
      </c>
      <c r="K1" s="181" t="inlineStr">
        <is>
          <t>Ваниш</t>
        </is>
      </c>
      <c r="L1" s="181" t="inlineStr">
        <is>
          <t>Ленор</t>
        </is>
      </c>
      <c r="M1" s="181" t="inlineStr">
        <is>
          <t>Порошок</t>
        </is>
      </c>
    </row>
    <row r="2">
      <c r="A2" s="178" t="n"/>
    </row>
    <row r="3">
      <c r="A3" s="178" t="n"/>
    </row>
    <row r="4">
      <c r="A4" s="178" t="n"/>
    </row>
    <row r="5">
      <c r="A5" s="178" t="n"/>
    </row>
    <row r="6">
      <c r="A6" s="178" t="n"/>
    </row>
    <row r="7">
      <c r="A7" s="178" t="n"/>
    </row>
    <row r="8">
      <c r="A8" s="178" t="n"/>
    </row>
    <row r="9">
      <c r="A9" s="178" t="n"/>
    </row>
    <row r="10">
      <c r="A10" s="178" t="n"/>
    </row>
    <row r="11">
      <c r="A11" s="178" t="n"/>
    </row>
    <row r="12">
      <c r="A12" s="178" t="n"/>
    </row>
    <row r="13">
      <c r="A13" s="178" t="n"/>
    </row>
    <row r="14">
      <c r="A14" s="178" t="n"/>
    </row>
    <row r="15">
      <c r="A15" s="178" t="n"/>
    </row>
    <row r="16">
      <c r="A16" s="178" t="n"/>
    </row>
    <row r="17">
      <c r="A17" s="178" t="n"/>
    </row>
    <row r="18">
      <c r="A18" s="178" t="n"/>
    </row>
    <row r="19">
      <c r="A19" s="178" t="n"/>
    </row>
    <row r="20">
      <c r="A20" s="178" t="n"/>
    </row>
    <row r="21">
      <c r="A21" s="178" t="n"/>
    </row>
    <row r="22">
      <c r="A22" s="178" t="n"/>
    </row>
    <row r="23">
      <c r="A23" s="178" t="n"/>
    </row>
    <row r="24">
      <c r="A24" s="178" t="n"/>
    </row>
    <row r="25">
      <c r="A25" s="178" t="n"/>
    </row>
    <row r="26">
      <c r="A26" s="178" t="n"/>
    </row>
    <row r="27">
      <c r="A27" s="178" t="n"/>
    </row>
    <row r="28">
      <c r="A28" s="178" t="n"/>
    </row>
    <row r="29">
      <c r="A29" s="178" t="n"/>
    </row>
    <row r="30">
      <c r="A30" s="178" t="n"/>
    </row>
    <row r="31">
      <c r="A31" s="178" t="n"/>
    </row>
    <row r="32">
      <c r="A32" s="178" t="n"/>
    </row>
    <row r="33">
      <c r="A33" s="178" t="n"/>
    </row>
    <row r="34">
      <c r="A34" s="178" t="n"/>
    </row>
    <row r="35">
      <c r="A35" s="178" t="n"/>
    </row>
    <row r="36">
      <c r="A36" s="178" t="n"/>
    </row>
    <row r="37">
      <c r="A37" s="178" t="n"/>
    </row>
    <row r="38">
      <c r="A38" s="178" t="n"/>
    </row>
    <row r="39">
      <c r="A39" s="178" t="n"/>
    </row>
    <row r="40">
      <c r="A40" s="178" t="n"/>
    </row>
    <row r="41">
      <c r="A41" s="178" t="n"/>
    </row>
    <row r="42">
      <c r="A42" s="178" t="n"/>
    </row>
    <row r="43">
      <c r="A43" s="178" t="n"/>
    </row>
    <row r="44">
      <c r="A44" s="178" t="n"/>
    </row>
    <row r="45">
      <c r="A45" s="178" t="n"/>
    </row>
    <row r="46">
      <c r="A46" s="178" t="n"/>
    </row>
    <row r="47">
      <c r="A47" s="178" t="n"/>
    </row>
    <row r="48">
      <c r="A48" s="178" t="n"/>
    </row>
    <row r="49">
      <c r="A49" s="178" t="n"/>
    </row>
    <row r="50">
      <c r="A50" s="178" t="n"/>
    </row>
    <row r="51">
      <c r="A51" s="178" t="n"/>
    </row>
    <row r="52">
      <c r="A52" s="178" t="n"/>
    </row>
    <row r="53">
      <c r="A53" s="178" t="n"/>
    </row>
    <row r="54">
      <c r="A54" s="178" t="n"/>
    </row>
    <row r="55">
      <c r="A55" s="178" t="n"/>
    </row>
    <row r="56">
      <c r="A56" s="178" t="n"/>
    </row>
    <row r="57">
      <c r="A57" s="178" t="n"/>
    </row>
    <row r="58">
      <c r="A58" s="178" t="n"/>
    </row>
    <row r="59">
      <c r="A59" s="178" t="n"/>
    </row>
    <row r="60">
      <c r="A60" s="178" t="n"/>
    </row>
    <row r="61">
      <c r="A61" s="178" t="n"/>
    </row>
    <row r="62">
      <c r="A62" s="178" t="n"/>
    </row>
    <row r="63">
      <c r="A63" s="178" t="n"/>
    </row>
    <row r="64">
      <c r="A64" s="178" t="n"/>
    </row>
    <row r="65">
      <c r="A65" s="178" t="n"/>
    </row>
    <row r="66">
      <c r="A66" s="178" t="n"/>
    </row>
    <row r="67">
      <c r="A67" s="178" t="n"/>
    </row>
    <row r="68">
      <c r="A68" s="178" t="n"/>
    </row>
    <row r="69">
      <c r="A69" s="178" t="n"/>
    </row>
    <row r="70">
      <c r="A70" s="178" t="n"/>
    </row>
    <row r="71">
      <c r="A71" s="178" t="n"/>
    </row>
    <row r="72">
      <c r="A72" s="178" t="n"/>
    </row>
    <row r="73">
      <c r="A73" s="178" t="n"/>
    </row>
    <row r="74">
      <c r="A74" s="178" t="n"/>
    </row>
    <row r="75">
      <c r="A75" s="178" t="n"/>
    </row>
    <row r="76">
      <c r="A76" s="178" t="n"/>
    </row>
    <row r="77">
      <c r="A77" s="178" t="n"/>
    </row>
    <row r="78">
      <c r="A78" s="178" t="n"/>
    </row>
    <row r="79">
      <c r="A79" s="178" t="n"/>
    </row>
    <row r="80">
      <c r="A80" s="178" t="n"/>
    </row>
    <row r="81">
      <c r="A81" s="178" t="n"/>
    </row>
    <row r="82">
      <c r="A82" s="178" t="n"/>
    </row>
    <row r="83">
      <c r="A83" s="178" t="n"/>
    </row>
    <row r="84">
      <c r="A84" s="178" t="n"/>
    </row>
    <row r="85">
      <c r="A85" s="178" t="n"/>
    </row>
    <row r="86">
      <c r="A86" s="178" t="n"/>
    </row>
    <row r="87">
      <c r="A87" s="178" t="n"/>
    </row>
    <row r="88">
      <c r="A88" s="178" t="n"/>
    </row>
    <row r="89">
      <c r="A89" s="178" t="n"/>
    </row>
    <row r="90">
      <c r="A90" s="178" t="n"/>
    </row>
    <row r="91">
      <c r="A91" s="178" t="n"/>
    </row>
    <row r="92">
      <c r="A92" s="178" t="n"/>
    </row>
    <row r="93">
      <c r="A93" s="178" t="n"/>
    </row>
    <row r="94">
      <c r="A94" s="178" t="n"/>
    </row>
    <row r="95">
      <c r="A95" s="178" t="n"/>
    </row>
    <row r="96">
      <c r="A96" s="178" t="n"/>
    </row>
    <row r="97">
      <c r="A97" s="178" t="n"/>
    </row>
    <row r="98">
      <c r="A98" s="178" t="n"/>
    </row>
    <row r="99">
      <c r="A99" s="178" t="n"/>
    </row>
    <row r="100">
      <c r="A100" s="178" t="n"/>
    </row>
    <row r="101">
      <c r="A101" s="178" t="n"/>
    </row>
    <row r="102">
      <c r="A102" s="178" t="n"/>
    </row>
    <row r="103">
      <c r="A103" s="178" t="n"/>
    </row>
    <row r="104">
      <c r="A104" s="178" t="n"/>
    </row>
    <row r="105">
      <c r="A105" s="178" t="n"/>
    </row>
    <row r="106">
      <c r="A106" s="178" t="n"/>
    </row>
    <row r="107">
      <c r="A107" s="178" t="n"/>
    </row>
    <row r="108">
      <c r="A108" s="178" t="n"/>
    </row>
    <row r="109">
      <c r="A109" s="178" t="n"/>
    </row>
    <row r="110">
      <c r="A110" s="178" t="n"/>
    </row>
    <row r="111">
      <c r="A111" s="178" t="n"/>
    </row>
    <row r="112">
      <c r="A112" s="178" t="n"/>
    </row>
    <row r="113">
      <c r="A113" s="178" t="n"/>
    </row>
    <row r="114">
      <c r="A114" s="178" t="n"/>
    </row>
    <row r="115">
      <c r="A115" s="178" t="n"/>
    </row>
    <row r="116">
      <c r="A116" s="178" t="n"/>
    </row>
    <row r="117">
      <c r="A117" s="178" t="n"/>
    </row>
    <row r="118">
      <c r="A118" s="178" t="n"/>
    </row>
    <row r="119">
      <c r="A119" s="178" t="n"/>
    </row>
    <row r="120">
      <c r="A120" s="178" t="n"/>
    </row>
    <row r="121">
      <c r="A121" s="178" t="n"/>
    </row>
    <row r="122">
      <c r="A122" s="178" t="n"/>
    </row>
    <row r="123">
      <c r="A123" s="178" t="n"/>
    </row>
    <row r="124">
      <c r="A124" s="178" t="n"/>
    </row>
    <row r="125">
      <c r="A125" s="178" t="n"/>
    </row>
    <row r="126">
      <c r="A126" s="178" t="n"/>
    </row>
    <row r="127">
      <c r="A127" s="178" t="n"/>
    </row>
    <row r="128">
      <c r="A128" s="178" t="n"/>
    </row>
    <row r="129">
      <c r="A129" s="178" t="n"/>
    </row>
    <row r="130">
      <c r="A130" s="178" t="n"/>
    </row>
    <row r="131">
      <c r="A131" s="178" t="n"/>
    </row>
    <row r="132">
      <c r="A132" s="178" t="n"/>
    </row>
    <row r="133">
      <c r="A133" s="178" t="n"/>
    </row>
    <row r="134">
      <c r="A134" s="178" t="n"/>
    </row>
    <row r="135">
      <c r="A135" s="178" t="n"/>
    </row>
    <row r="136">
      <c r="A136" s="178" t="n"/>
    </row>
    <row r="137">
      <c r="A137" s="178" t="n"/>
    </row>
    <row r="138">
      <c r="A138" s="178" t="n"/>
    </row>
    <row r="139">
      <c r="A139" s="178" t="n"/>
    </row>
    <row r="140">
      <c r="A140" s="178" t="n"/>
    </row>
    <row r="141">
      <c r="A141" s="178" t="n"/>
    </row>
    <row r="142">
      <c r="A142" s="178" t="n"/>
    </row>
    <row r="143">
      <c r="A143" s="178" t="n"/>
    </row>
    <row r="144">
      <c r="A144" s="178" t="n"/>
    </row>
    <row r="145">
      <c r="A145" s="178" t="n"/>
    </row>
    <row r="146">
      <c r="A146" s="178" t="n"/>
    </row>
    <row r="147">
      <c r="A147" s="178" t="n"/>
    </row>
    <row r="148">
      <c r="A148" s="178" t="n"/>
    </row>
    <row r="149">
      <c r="A149" s="178" t="n"/>
    </row>
    <row r="150">
      <c r="A150" s="178" t="n"/>
    </row>
    <row r="151">
      <c r="A151" s="178" t="n"/>
    </row>
    <row r="152">
      <c r="A152" s="178" t="n"/>
    </row>
    <row r="153">
      <c r="A153" s="178" t="n"/>
    </row>
    <row r="154">
      <c r="A154" s="178" t="n"/>
    </row>
    <row r="155">
      <c r="A155" s="178" t="n"/>
    </row>
    <row r="156">
      <c r="A156" s="178" t="n"/>
    </row>
    <row r="157">
      <c r="A157" s="178" t="n"/>
    </row>
    <row r="158">
      <c r="A158" s="178" t="n"/>
    </row>
    <row r="159">
      <c r="A159" s="178" t="n"/>
    </row>
    <row r="160">
      <c r="A160" s="178" t="n"/>
    </row>
    <row r="161">
      <c r="A161" s="178" t="n"/>
    </row>
    <row r="162">
      <c r="A162" s="178" t="n"/>
    </row>
    <row r="163">
      <c r="A163" s="178" t="n"/>
    </row>
    <row r="164">
      <c r="A164" s="178" t="n"/>
    </row>
    <row r="165">
      <c r="A165" s="178" t="n"/>
    </row>
    <row r="166">
      <c r="A166" s="178" t="n"/>
    </row>
    <row r="167">
      <c r="A167" s="178" t="n"/>
    </row>
    <row r="168">
      <c r="A168" s="178" t="n"/>
    </row>
    <row r="169">
      <c r="A169" s="178" t="n"/>
    </row>
    <row r="170">
      <c r="A170" s="178" t="n"/>
    </row>
    <row r="171">
      <c r="A171" s="178" t="n"/>
    </row>
    <row r="172">
      <c r="A172" s="178" t="n"/>
    </row>
    <row r="173">
      <c r="A173" s="178" t="n"/>
    </row>
    <row r="174">
      <c r="A174" s="178" t="n"/>
    </row>
    <row r="175">
      <c r="A175" s="178" t="n"/>
    </row>
    <row r="176">
      <c r="A176" s="178" t="n"/>
    </row>
    <row r="177">
      <c r="A177" s="178" t="n"/>
    </row>
    <row r="178">
      <c r="A178" s="178" t="n"/>
    </row>
    <row r="179">
      <c r="A179" s="178" t="n"/>
    </row>
    <row r="180">
      <c r="A180" s="178" t="n"/>
    </row>
    <row r="181">
      <c r="A181" s="178" t="n"/>
    </row>
    <row r="182">
      <c r="A182" s="178" t="n"/>
    </row>
    <row r="183">
      <c r="A183" s="178" t="n"/>
    </row>
    <row r="184">
      <c r="A184" s="178" t="n"/>
    </row>
    <row r="185">
      <c r="A185" s="178" t="n"/>
    </row>
    <row r="186">
      <c r="A186" s="178" t="n"/>
    </row>
    <row r="187">
      <c r="A187" s="178" t="n"/>
    </row>
    <row r="188">
      <c r="A188" s="178" t="n"/>
    </row>
    <row r="189">
      <c r="A189" s="178" t="n"/>
    </row>
    <row r="190">
      <c r="A190" s="178" t="n"/>
    </row>
    <row r="191">
      <c r="A191" s="178" t="n"/>
    </row>
    <row r="192">
      <c r="A192" s="178" t="n"/>
    </row>
    <row r="193">
      <c r="A193" s="178" t="n"/>
    </row>
    <row r="194">
      <c r="A194" s="178" t="n"/>
    </row>
    <row r="195">
      <c r="A195" s="178" t="n"/>
    </row>
    <row r="196">
      <c r="A196" s="178" t="n"/>
    </row>
    <row r="197">
      <c r="A197" s="178" t="n"/>
    </row>
    <row r="198">
      <c r="A198" s="178" t="n"/>
    </row>
    <row r="199">
      <c r="A199" s="178" t="n"/>
    </row>
    <row r="200">
      <c r="A200" s="178" t="n"/>
    </row>
    <row r="201">
      <c r="A201" s="178" t="n"/>
    </row>
    <row r="202">
      <c r="A202" s="178" t="n"/>
    </row>
    <row r="203">
      <c r="A203" s="178" t="n"/>
    </row>
    <row r="204">
      <c r="A204" s="178" t="n"/>
    </row>
    <row r="205">
      <c r="A205" s="178" t="n"/>
    </row>
    <row r="206">
      <c r="A206" s="178" t="n"/>
    </row>
    <row r="207">
      <c r="A207" s="178" t="n"/>
    </row>
    <row r="208">
      <c r="A208" s="178" t="n"/>
    </row>
    <row r="209">
      <c r="A209" s="178" t="n"/>
    </row>
    <row r="210">
      <c r="A210" s="178" t="n"/>
    </row>
    <row r="211">
      <c r="A211" s="178" t="n"/>
    </row>
    <row r="212">
      <c r="A212" s="178" t="n"/>
    </row>
    <row r="213">
      <c r="A213" s="178" t="n"/>
    </row>
    <row r="214">
      <c r="A214" s="178" t="n"/>
    </row>
    <row r="215">
      <c r="A215" s="178" t="n"/>
    </row>
    <row r="216">
      <c r="A216" s="178" t="n"/>
    </row>
    <row r="217">
      <c r="A217" s="178" t="n"/>
    </row>
    <row r="218">
      <c r="A218" s="178" t="n"/>
    </row>
    <row r="219">
      <c r="A219" s="178" t="n"/>
    </row>
    <row r="220">
      <c r="A220" s="178" t="n"/>
    </row>
    <row r="221">
      <c r="A221" s="178" t="n"/>
    </row>
    <row r="222">
      <c r="A222" s="178" t="n"/>
    </row>
    <row r="223">
      <c r="A223" s="178" t="n"/>
    </row>
    <row r="224">
      <c r="A224" s="178" t="n"/>
    </row>
    <row r="225">
      <c r="A225" s="178" t="n"/>
    </row>
    <row r="226">
      <c r="A226" s="178" t="n"/>
    </row>
    <row r="227">
      <c r="A227" s="178" t="n"/>
    </row>
    <row r="228">
      <c r="A228" s="178" t="n"/>
    </row>
    <row r="229">
      <c r="A229" s="178" t="n"/>
    </row>
    <row r="230">
      <c r="A230" s="178" t="n"/>
    </row>
    <row r="231">
      <c r="A231" s="178" t="n"/>
    </row>
    <row r="232">
      <c r="A232" s="178" t="n"/>
    </row>
    <row r="233">
      <c r="A233" s="178" t="n"/>
    </row>
    <row r="234">
      <c r="A234" s="178" t="n"/>
    </row>
    <row r="235">
      <c r="A235" s="178" t="n"/>
    </row>
    <row r="236">
      <c r="A236" s="178" t="n"/>
    </row>
    <row r="237">
      <c r="A237" s="178" t="n"/>
    </row>
    <row r="238">
      <c r="A238" s="178" t="n"/>
    </row>
    <row r="239">
      <c r="A239" s="178" t="n"/>
    </row>
    <row r="240">
      <c r="A240" s="178" t="n"/>
    </row>
    <row r="241">
      <c r="A241" s="178" t="n"/>
    </row>
    <row r="242">
      <c r="A242" s="178" t="n"/>
    </row>
    <row r="243">
      <c r="A243" s="178" t="n"/>
    </row>
    <row r="244">
      <c r="A244" s="178" t="n"/>
    </row>
    <row r="245">
      <c r="A245" s="178" t="n"/>
    </row>
    <row r="246">
      <c r="A246" s="178" t="n"/>
    </row>
    <row r="247">
      <c r="A247" s="178" t="n"/>
    </row>
    <row r="248">
      <c r="A248" s="178" t="n"/>
    </row>
    <row r="249">
      <c r="A249" s="178" t="n"/>
    </row>
    <row r="250">
      <c r="A250" s="178" t="n"/>
    </row>
    <row r="251">
      <c r="A251" s="178" t="n"/>
    </row>
    <row r="252">
      <c r="A252" s="178" t="n"/>
    </row>
    <row r="253">
      <c r="A253" s="178" t="n"/>
    </row>
    <row r="254">
      <c r="A254" s="178" t="n"/>
    </row>
    <row r="255">
      <c r="A255" s="178" t="n"/>
    </row>
    <row r="256">
      <c r="A256" s="178" t="n"/>
    </row>
    <row r="257">
      <c r="A257" s="178" t="n"/>
    </row>
    <row r="258">
      <c r="A258" s="178" t="n"/>
    </row>
    <row r="259">
      <c r="A259" s="178" t="n"/>
    </row>
    <row r="260">
      <c r="A260" s="178" t="n"/>
    </row>
    <row r="261">
      <c r="A261" s="178" t="n"/>
    </row>
    <row r="262">
      <c r="A262" s="178" t="n"/>
    </row>
    <row r="263">
      <c r="A263" s="178" t="n"/>
    </row>
    <row r="264">
      <c r="A264" s="178" t="n"/>
    </row>
    <row r="265">
      <c r="A265" s="178" t="n"/>
    </row>
    <row r="266">
      <c r="A266" s="178" t="n"/>
    </row>
    <row r="267">
      <c r="A267" s="178" t="n"/>
    </row>
    <row r="268">
      <c r="A268" s="178" t="n"/>
    </row>
    <row r="269">
      <c r="A269" s="178" t="n"/>
    </row>
    <row r="270">
      <c r="A270" s="178" t="n"/>
    </row>
    <row r="271">
      <c r="A271" s="178" t="n"/>
    </row>
    <row r="272">
      <c r="A272" s="178" t="n"/>
    </row>
    <row r="273">
      <c r="A273" s="178" t="n"/>
    </row>
    <row r="274">
      <c r="A274" s="178" t="n"/>
    </row>
    <row r="275">
      <c r="A275" s="178" t="n"/>
    </row>
    <row r="276">
      <c r="A276" s="178" t="n"/>
    </row>
    <row r="277">
      <c r="A277" s="178" t="n"/>
    </row>
    <row r="278">
      <c r="A278" s="178" t="n"/>
    </row>
    <row r="279">
      <c r="A279" s="178" t="n"/>
    </row>
    <row r="280">
      <c r="A280" s="178" t="n"/>
    </row>
    <row r="281">
      <c r="A281" s="178" t="n"/>
    </row>
    <row r="282">
      <c r="A282" s="178" t="n"/>
    </row>
    <row r="283">
      <c r="A283" s="178" t="n"/>
    </row>
    <row r="284">
      <c r="A284" s="178" t="n"/>
    </row>
    <row r="285">
      <c r="A285" s="178" t="n"/>
    </row>
    <row r="286">
      <c r="A286" s="178" t="n"/>
    </row>
    <row r="287">
      <c r="A287" s="178" t="n"/>
    </row>
    <row r="288">
      <c r="A288" s="178" t="n"/>
    </row>
    <row r="289">
      <c r="A289" s="178" t="n"/>
    </row>
    <row r="290">
      <c r="A290" s="178" t="n"/>
    </row>
    <row r="291">
      <c r="A291" s="178" t="n"/>
    </row>
    <row r="292">
      <c r="A292" s="178" t="n"/>
    </row>
    <row r="293">
      <c r="A293" s="178" t="n"/>
    </row>
    <row r="294">
      <c r="A294" s="178" t="n"/>
    </row>
    <row r="295">
      <c r="A295" s="178" t="n"/>
    </row>
    <row r="296">
      <c r="A296" s="178" t="n"/>
    </row>
    <row r="297">
      <c r="A297" s="178" t="n"/>
    </row>
    <row r="298">
      <c r="A298" s="178" t="n"/>
    </row>
    <row r="299">
      <c r="A299" s="178" t="n"/>
    </row>
    <row r="300">
      <c r="A300" s="178" t="n"/>
    </row>
    <row r="301">
      <c r="A301" s="178" t="n"/>
    </row>
    <row r="302">
      <c r="A302" s="178" t="n"/>
    </row>
    <row r="303">
      <c r="A303" s="178" t="n"/>
    </row>
    <row r="304">
      <c r="A304" s="178" t="n"/>
    </row>
    <row r="305">
      <c r="A305" s="178" t="n"/>
    </row>
    <row r="306">
      <c r="A306" s="178" t="n"/>
    </row>
    <row r="307">
      <c r="A307" s="178" t="n"/>
    </row>
    <row r="308">
      <c r="A308" s="178" t="n"/>
    </row>
    <row r="309">
      <c r="A309" s="178" t="n"/>
    </row>
    <row r="310">
      <c r="A310" s="178" t="n"/>
    </row>
    <row r="311">
      <c r="A311" s="178" t="n"/>
    </row>
  </sheetData>
  <autoFilter ref="A1:M31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0" customWidth="1" min="11" max="11"/>
    <col width="10" customWidth="1" min="12" max="12"/>
    <col width="12" customWidth="1" min="13" max="13"/>
  </cols>
  <sheetData>
    <row r="1" ht="30" customHeight="1">
      <c r="A1" s="181" t="inlineStr">
        <is>
          <t>Дата</t>
        </is>
      </c>
      <c r="B1" s="181" t="inlineStr">
        <is>
          <t>Дозатор</t>
        </is>
      </c>
      <c r="C1" s="181" t="inlineStr">
        <is>
          <t>Машина</t>
        </is>
      </c>
      <c r="D1" s="181" t="inlineStr">
        <is>
          <t>Стирок</t>
        </is>
      </c>
      <c r="E1" s="181" t="inlineStr">
        <is>
          <t>Кг белья</t>
        </is>
      </c>
      <c r="F1" s="181" t="inlineStr">
        <is>
          <t>EMULSIFIER</t>
        </is>
      </c>
      <c r="G1" s="181" t="inlineStr">
        <is>
          <t>ALKALINE</t>
        </is>
      </c>
      <c r="H1" s="181" t="inlineStr">
        <is>
          <t>BLEACH</t>
        </is>
      </c>
      <c r="I1" s="181" t="inlineStr">
        <is>
          <t>SOFTENER</t>
        </is>
      </c>
      <c r="J1" s="181" t="inlineStr">
        <is>
          <t>NEUTRALIZER</t>
        </is>
      </c>
      <c r="K1" s="181" t="inlineStr">
        <is>
          <t>Ваниш</t>
        </is>
      </c>
      <c r="L1" s="181" t="inlineStr">
        <is>
          <t>Ленор</t>
        </is>
      </c>
      <c r="M1" s="181" t="inlineStr">
        <is>
          <t>Порошок</t>
        </is>
      </c>
    </row>
    <row r="2">
      <c r="A2" s="178" t="n"/>
    </row>
    <row r="3">
      <c r="A3" s="178" t="n"/>
    </row>
    <row r="4">
      <c r="A4" s="178" t="n"/>
    </row>
    <row r="5">
      <c r="A5" s="178" t="n"/>
    </row>
    <row r="6">
      <c r="A6" s="178" t="n"/>
    </row>
    <row r="7">
      <c r="A7" s="178" t="n"/>
    </row>
    <row r="8">
      <c r="A8" s="178" t="n"/>
    </row>
    <row r="9">
      <c r="A9" s="178" t="n"/>
    </row>
    <row r="10">
      <c r="A10" s="178" t="n"/>
    </row>
    <row r="11">
      <c r="A11" s="178" t="n"/>
    </row>
    <row r="12">
      <c r="A12" s="178" t="n"/>
    </row>
    <row r="13">
      <c r="A13" s="178" t="n"/>
    </row>
    <row r="14">
      <c r="A14" s="178" t="n"/>
    </row>
    <row r="15">
      <c r="A15" s="178" t="n"/>
    </row>
    <row r="16">
      <c r="A16" s="178" t="n"/>
    </row>
    <row r="17">
      <c r="A17" s="178" t="n"/>
    </row>
    <row r="18">
      <c r="A18" s="178" t="n"/>
    </row>
    <row r="19">
      <c r="A19" s="178" t="n"/>
    </row>
    <row r="20">
      <c r="A20" s="178" t="n"/>
    </row>
    <row r="21">
      <c r="A21" s="178" t="n"/>
    </row>
    <row r="22">
      <c r="A22" s="178" t="n"/>
    </row>
    <row r="23">
      <c r="A23" s="178" t="n"/>
    </row>
    <row r="24">
      <c r="A24" s="178" t="n"/>
    </row>
    <row r="25">
      <c r="A25" s="178" t="n"/>
    </row>
    <row r="26">
      <c r="A26" s="178" t="n"/>
    </row>
    <row r="27">
      <c r="A27" s="178" t="n"/>
    </row>
    <row r="28">
      <c r="A28" s="178" t="n"/>
    </row>
    <row r="29">
      <c r="A29" s="178" t="n"/>
    </row>
    <row r="30">
      <c r="A30" s="178" t="n"/>
    </row>
    <row r="31">
      <c r="A31" s="178" t="n"/>
    </row>
    <row r="32">
      <c r="A32" s="178" t="n"/>
    </row>
    <row r="33">
      <c r="A33" s="178" t="n"/>
    </row>
    <row r="34">
      <c r="A34" s="178" t="n"/>
    </row>
    <row r="35">
      <c r="A35" s="178" t="n"/>
    </row>
    <row r="36">
      <c r="A36" s="178" t="n"/>
    </row>
    <row r="37">
      <c r="A37" s="178" t="n"/>
    </row>
    <row r="38">
      <c r="A38" s="178" t="n"/>
    </row>
    <row r="39">
      <c r="A39" s="178" t="n"/>
    </row>
    <row r="40">
      <c r="A40" s="178" t="n"/>
    </row>
    <row r="41">
      <c r="A41" s="178" t="n"/>
    </row>
    <row r="42">
      <c r="A42" s="178" t="n"/>
    </row>
    <row r="43">
      <c r="A43" s="178" t="n"/>
    </row>
    <row r="44">
      <c r="A44" s="178" t="n"/>
    </row>
    <row r="45">
      <c r="A45" s="178" t="n"/>
    </row>
    <row r="46">
      <c r="A46" s="178" t="n"/>
    </row>
    <row r="47">
      <c r="A47" s="178" t="n"/>
    </row>
    <row r="48">
      <c r="A48" s="178" t="n"/>
    </row>
    <row r="49">
      <c r="A49" s="178" t="n"/>
    </row>
    <row r="50">
      <c r="A50" s="178" t="n"/>
    </row>
    <row r="51">
      <c r="A51" s="178" t="n"/>
    </row>
    <row r="52">
      <c r="A52" s="178" t="n"/>
    </row>
    <row r="53">
      <c r="A53" s="178" t="n"/>
    </row>
    <row r="54">
      <c r="A54" s="178" t="n"/>
    </row>
    <row r="55">
      <c r="A55" s="178" t="n"/>
    </row>
    <row r="56">
      <c r="A56" s="178" t="n"/>
    </row>
    <row r="57">
      <c r="A57" s="178" t="n"/>
    </row>
    <row r="58">
      <c r="A58" s="178" t="n"/>
    </row>
    <row r="59">
      <c r="A59" s="178" t="n"/>
    </row>
    <row r="60">
      <c r="A60" s="178" t="n"/>
    </row>
    <row r="61">
      <c r="A61" s="178" t="n"/>
    </row>
    <row r="62">
      <c r="A62" s="178" t="n"/>
    </row>
    <row r="63">
      <c r="A63" s="178" t="n"/>
    </row>
  </sheetData>
  <autoFilter ref="A1:M6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0" customWidth="1" min="9" max="9"/>
    <col width="14" customWidth="1" min="10" max="10"/>
  </cols>
  <sheetData>
    <row r="1" ht="30" customHeight="1">
      <c r="A1" s="181" t="inlineStr">
        <is>
          <t>Дата</t>
        </is>
      </c>
      <c r="B1" s="181" t="inlineStr">
        <is>
          <t>Дозатор</t>
        </is>
      </c>
      <c r="C1" s="181" t="inlineStr">
        <is>
          <t>Химикат</t>
        </is>
      </c>
      <c r="D1" s="181" t="inlineStr">
        <is>
          <t>Тип</t>
        </is>
      </c>
      <c r="E1" s="181" t="inlineStr">
        <is>
          <t>Теория, л</t>
        </is>
      </c>
      <c r="F1" s="181" t="inlineStr">
        <is>
          <t>Факт, л</t>
        </is>
      </c>
      <c r="G1" s="181" t="inlineStr">
        <is>
          <t>Разница, л</t>
        </is>
      </c>
      <c r="H1" s="181" t="inlineStr">
        <is>
          <t>Отклонение %</t>
        </is>
      </c>
      <c r="I1" s="181" t="inlineStr">
        <is>
          <t>Замены</t>
        </is>
      </c>
      <c r="J1" s="181" t="inlineStr">
        <is>
          <t>Без остатка</t>
        </is>
      </c>
    </row>
  </sheetData>
  <autoFilter ref="A1:J200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0" customWidth="1" min="11" max="11"/>
    <col width="10" customWidth="1" min="12" max="12"/>
    <col width="12" customWidth="1" min="13" max="13"/>
  </cols>
  <sheetData>
    <row r="1" ht="30" customHeight="1">
      <c r="A1" s="181" t="inlineStr">
        <is>
          <t>Дозатор</t>
        </is>
      </c>
      <c r="B1" s="181" t="inlineStr">
        <is>
          <t>Машина</t>
        </is>
      </c>
      <c r="C1" s="181" t="inlineStr">
        <is>
          <t>Стирок</t>
        </is>
      </c>
      <c r="D1" s="181" t="inlineStr">
        <is>
          <t>Кг белья</t>
        </is>
      </c>
      <c r="E1" s="181" t="inlineStr">
        <is>
          <t>Средний кг/стирку</t>
        </is>
      </c>
      <c r="F1" s="181" t="inlineStr">
        <is>
          <t>EMULSIFIER</t>
        </is>
      </c>
      <c r="G1" s="181" t="inlineStr">
        <is>
          <t>ALKALINE</t>
        </is>
      </c>
      <c r="H1" s="181" t="inlineStr">
        <is>
          <t>BLEACH</t>
        </is>
      </c>
      <c r="I1" s="181" t="inlineStr">
        <is>
          <t>SOFTENER</t>
        </is>
      </c>
      <c r="J1" s="181" t="inlineStr">
        <is>
          <t>NEUTRALIZER</t>
        </is>
      </c>
      <c r="K1" s="181" t="inlineStr">
        <is>
          <t>Ваниш</t>
        </is>
      </c>
      <c r="L1" s="181" t="inlineStr">
        <is>
          <t>Ленор</t>
        </is>
      </c>
      <c r="M1" s="181" t="inlineStr">
        <is>
          <t>Порошок</t>
        </is>
      </c>
    </row>
  </sheetData>
  <autoFilter ref="A1:M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Altair Utyashev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2026-10-05T16:13:33Z</dcterms:modified>
  <cp:lastModifiedBy>Altair Utyashev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0x0101002557E5F4251C114E97E4FA60979F3F7E</vt:lpwstr>
  </property>
  <property name="xd_ProgID" fmtid="{D5CDD505-2E9C-101B-9397-08002B2CF9AE}" pid="3">
    <vt:lpwstr xmlns:vt="http://schemas.openxmlformats.org/officeDocument/2006/docPropsVTypes"/>
  </property>
  <property name="ComplianceAssetId" fmtid="{D5CDD505-2E9C-101B-9397-08002B2CF9AE}" pid="4">
    <vt:lpwstr xmlns:vt="http://schemas.openxmlformats.org/officeDocument/2006/docPropsVTypes"/>
  </property>
  <property name="TemplateUrl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xd_Signature" fmtid="{D5CDD505-2E9C-101B-9397-08002B2CF9AE}" pid="8">
    <vt:bool xmlns:vt="http://schemas.openxmlformats.org/officeDocument/2006/docPropsVTypes">0</vt:bool>
  </property>
</Properties>
</file>